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ichValueRel.xml" ContentType="application/vnd.ms-excel.richvaluerel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40019262-CD97-496F-9D9B-8DF4619F8483}" xr6:coauthVersionLast="45" xr6:coauthVersionMax="47" xr10:uidLastSave="{00000000-0000-0000-0000-000000000000}"/>
  <bookViews>
    <workbookView xWindow="-120" yWindow="-120" windowWidth="29040" windowHeight="15720" tabRatio="768" activeTab="2" xr2:uid="{00000000-000D-0000-FFFF-FFFF00000000}"/>
  </bookViews>
  <sheets>
    <sheet name="ДИНАМИКИ РУПОРА" sheetId="2" r:id="rId1"/>
    <sheet name="САБВУФЕРЫ" sheetId="3" r:id="rId2"/>
    <sheet name="УСИЛИТЕЛИ МОНОБЛОКИ" sheetId="4" r:id="rId3"/>
    <sheet name="МУЛЬТИМЕДИА" sheetId="5" r:id="rId4"/>
    <sheet name="АВТОСВЕТ" sheetId="7" r:id="rId5"/>
    <sheet name="АКСЕССУАРЫ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<sst xmlns="http://schemas.openxmlformats.org/spreadsheetml/2006/main" count="812" uniqueCount="442">
  <si>
    <t>Сумма заказа</t>
  </si>
  <si>
    <t>Наличие</t>
  </si>
  <si>
    <t>ЕСТЬ</t>
  </si>
  <si>
    <t>Заказ</t>
  </si>
  <si>
    <t>MOMO HE-290</t>
  </si>
  <si>
    <t>MOMO A-4.80</t>
  </si>
  <si>
    <t>MOMO D-500</t>
  </si>
  <si>
    <t>НЕТ</t>
  </si>
  <si>
    <t>MOMO P-4.75</t>
  </si>
  <si>
    <t>MOMO BONNIE AND CLYDE</t>
  </si>
  <si>
    <t>ZEUS MR-6.1</t>
  </si>
  <si>
    <t>ZEUS MR-8.1</t>
  </si>
  <si>
    <t>MOMO FR-500</t>
  </si>
  <si>
    <t>ZEUS AB-4.120</t>
  </si>
  <si>
    <t>ZEUS M-1.800</t>
  </si>
  <si>
    <t>АКСЕССУАРЫ</t>
  </si>
  <si>
    <t>MINI ANL 100A</t>
  </si>
  <si>
    <t>MINI ANL 150A</t>
  </si>
  <si>
    <t>ANL-200N</t>
  </si>
  <si>
    <t>ANL-200G</t>
  </si>
  <si>
    <t>RT-0</t>
  </si>
  <si>
    <t>Описание</t>
  </si>
  <si>
    <t>MOMO TS-15.1100</t>
  </si>
  <si>
    <t>Rca F1-M2</t>
  </si>
  <si>
    <t>Rca F2-M1</t>
  </si>
  <si>
    <t xml:space="preserve"> Предохранитель 150G(без колбы)</t>
  </si>
  <si>
    <t>Предохранитель 200N(без колбы)</t>
  </si>
  <si>
    <t>Предохранитель 100G(без колбы)</t>
  </si>
  <si>
    <t>Колба + Предохранитель 200А</t>
  </si>
  <si>
    <t>Комплект кабелей двух канальный 
(4ga)</t>
  </si>
  <si>
    <t>Комплект кабелей четырёх канальный
с пластиковыми колокольчиками 
(4ga)</t>
  </si>
  <si>
    <t>Комплект кабелей четырёх канальный 
(4ga)</t>
  </si>
  <si>
    <t>Комплект кабелей двух канальный 
(8ga)</t>
  </si>
  <si>
    <t>Комплект кабелей четырёх канальный 
(8ga)</t>
  </si>
  <si>
    <t>Обжимная клемма 0 GA
 (Упаковка :10red  и 10black)</t>
  </si>
  <si>
    <t>Дистибьютор питания</t>
  </si>
  <si>
    <t>BT-242</t>
  </si>
  <si>
    <t>MOMO BD-3000.1</t>
  </si>
  <si>
    <t xml:space="preserve">КЛЕЙ АКФИКС </t>
  </si>
  <si>
    <t>MOMO US-310 V3</t>
  </si>
  <si>
    <t>MOMO BD-5000.1</t>
  </si>
  <si>
    <t>Rca 2.1 кабель 5m. Медь</t>
  </si>
  <si>
    <t>Rca 2.1</t>
  </si>
  <si>
    <t>MOMO FR-2.1800</t>
  </si>
  <si>
    <t>MOMO D-1000</t>
  </si>
  <si>
    <t>ZEUS FR-2.1100</t>
  </si>
  <si>
    <t>MOMO HE-815</t>
  </si>
  <si>
    <t xml:space="preserve">MOMO US 300-М </t>
  </si>
  <si>
    <t>Литий-ионный аккумулятор 30Ah</t>
  </si>
  <si>
    <t>Литий-ионный аккумулятор 40Ah</t>
  </si>
  <si>
    <t>Напряжение на выходе 14.8 Вольт. Вес 3.2 кг</t>
  </si>
  <si>
    <t>Напряжение на выходе 14.8 Вольт. Вес 4 кг</t>
  </si>
  <si>
    <t>Карпет</t>
  </si>
  <si>
    <t>Клемма аккумул.,вход:1х0 GA(53.5 мм2) 
выходы ;1х4 GA (21.2 мм2) + 2х8 GA (83.5мм2)</t>
  </si>
  <si>
    <t>KIT M-042</t>
  </si>
  <si>
    <t>KIT M-044</t>
  </si>
  <si>
    <t>KIT M-044LC</t>
  </si>
  <si>
    <t>KIT M-082</t>
  </si>
  <si>
    <t>KIT M-084</t>
  </si>
  <si>
    <t xml:space="preserve">Динамики 6.5 "С.Ч." (165 мм), 4Om, катушка 1.5 дюйма, RMS 150 ВТ, MAX 300 Вт, 96 Дб, 115 - 10 000 Гц </t>
  </si>
  <si>
    <t xml:space="preserve">MOMO TS-10.600 </t>
  </si>
  <si>
    <t>DEH4850SDBT</t>
  </si>
  <si>
    <t>Автомобильный MP3 проигрыватель с блютузом 4х45вт с пультом</t>
  </si>
  <si>
    <t>Литий-ионный аккумулятор Модель 18650, 2500 мАч</t>
  </si>
  <si>
    <t>Литий-ионный аккумулятор Модель 18650, 2500 мАч. Перезаряжаемая литиевая батарея 3,7 В честные 2500мАч Зарядное устройство</t>
  </si>
  <si>
    <t>Автомобильный мультимедийный плеер 2 DIN, 9 дюймов, Android 10, 1 Гб + 16 Гб ОЗУ, GPS-навигация, BT, DAB, FM, USB, Wi-Fi, без dvd, Авторадио</t>
  </si>
  <si>
    <t xml:space="preserve">ZEUS AC-165 </t>
  </si>
  <si>
    <t>КЛЕЙ АКФИКС 125Г.</t>
  </si>
  <si>
    <t>КЛЕЙ АКФИКС 65Г.</t>
  </si>
  <si>
    <t>КЛЕЙ АКФИКС 25Г.</t>
  </si>
  <si>
    <t>АВТОСВЕТ</t>
  </si>
  <si>
    <t>Автомобильный мультимедийный плеер 2 DIN, 10 дюймов, Android 10, 1 Гб + 16 Гб ОЗУ, GPS-навигация, BT, DAB, FM, USB, Wi-Fi, без dvd, Авторадио</t>
  </si>
  <si>
    <t>Автомобильный мультимедийный плеер 2 DIN, 10 дюймов, Android 10,  2 Гб + 32 Гб ОЗУ, GPS-навигация, BT, DAB, FM, USB, Wi-Fi, без dvd, Авторадио</t>
  </si>
  <si>
    <t>MOMO HE-1000</t>
  </si>
  <si>
    <t>Центральный замок NK602 с пультом</t>
  </si>
  <si>
    <t>Центральный замок NK860 с пультом</t>
  </si>
  <si>
    <t>Автомобильный мультимедийный плеер 2 DIN, 9 дюймов, Android 10, 2 Гб + 32 Гб ОЗУ, GPS-навигация, BT, DAB, FM, USB, Wi-Fi, Авторадио,TDA-7851</t>
  </si>
  <si>
    <t>КОАКСИАЛЬНЫЕ  ДИНАМИКИ</t>
  </si>
  <si>
    <t>NK602</t>
  </si>
  <si>
    <t xml:space="preserve">NK860 </t>
  </si>
  <si>
    <t>LED H7-220W</t>
  </si>
  <si>
    <t>LED HB4-220W</t>
  </si>
  <si>
    <t>LED HB3-220W</t>
  </si>
  <si>
    <t>LED H1-110W</t>
  </si>
  <si>
    <t>LED H11-110W</t>
  </si>
  <si>
    <t>LED HB4-110W</t>
  </si>
  <si>
    <t>MOMO HE-130.3</t>
  </si>
  <si>
    <t>Плата AB 4.100</t>
  </si>
  <si>
    <t>Плата FR-2.1100</t>
  </si>
  <si>
    <t>Плата FR-2.1800</t>
  </si>
  <si>
    <t>Плата M-1.1100</t>
  </si>
  <si>
    <t>MOMO US 690.3</t>
  </si>
  <si>
    <t xml:space="preserve">ZEUS MR-690 </t>
  </si>
  <si>
    <t>MOMO HE-715 ver.6</t>
  </si>
  <si>
    <t>Лампа LED D3S Zeus</t>
  </si>
  <si>
    <t>Лампа LED D4S Zeus</t>
  </si>
  <si>
    <t>LED D3S</t>
  </si>
  <si>
    <t>LED D4S</t>
  </si>
  <si>
    <t xml:space="preserve">Автомагнитола ANDROID             9 Дюймов  2+16 </t>
  </si>
  <si>
    <t>Автомагнитола ANDROID               9 Дюймов 2+32 4G Sim</t>
  </si>
  <si>
    <t xml:space="preserve">Автомагнитола ANDROID             10 Дюймов  2+16 </t>
  </si>
  <si>
    <t>Автомагнитола ANDOID                10 Дюймов  2+32</t>
  </si>
  <si>
    <t>ZEUS M-1000</t>
  </si>
  <si>
    <t>ZEUS M-1.1200</t>
  </si>
  <si>
    <t>ZEUS BM-1.1500</t>
  </si>
  <si>
    <t>LED H7-110W LeadLight Zeus</t>
  </si>
  <si>
    <t>LED H11-110W LeadLight Zeus</t>
  </si>
  <si>
    <t>LED HB3-110W LeadLight Zeus</t>
  </si>
  <si>
    <t>LED H4-110W LeadLight Zeus</t>
  </si>
  <si>
    <t>LED HB4-110W LeadLight Zeus</t>
  </si>
  <si>
    <t>LED H1-110W LeadLight Zeus</t>
  </si>
  <si>
    <t>LED H7-220W LeadLight Zeus</t>
  </si>
  <si>
    <t>LED HB3-220W LeadLight Zeus</t>
  </si>
  <si>
    <t>LED HB4-220W LeadLight Zeus</t>
  </si>
  <si>
    <t>H4-MO1J Zeus</t>
  </si>
  <si>
    <t>LED HEAD LAMP-H4 Zeus</t>
  </si>
  <si>
    <t xml:space="preserve">LED H7-110W </t>
  </si>
  <si>
    <t xml:space="preserve">LED H4-110W </t>
  </si>
  <si>
    <t>LED HB3-110W</t>
  </si>
  <si>
    <t>МОМО HE-610.3</t>
  </si>
  <si>
    <t>Автомобильный мультимедийный плеер 2 DIN, 9 дюймов, Android 9, 1 Гб + 16 Гб ОЗУ, GPS-навигация, BT, DAB, FM, USB, Wi-Fi, без dvd, Авторадио</t>
  </si>
  <si>
    <t>ANL2-200A</t>
  </si>
  <si>
    <t>9006 комплект черный с блоком</t>
  </si>
  <si>
    <t>CONVERSION KIT 9006 без упаковки</t>
  </si>
  <si>
    <t>CONVERSION KIT H7 5000K без упаковки</t>
  </si>
  <si>
    <t xml:space="preserve">D3 canbus  Штатный блок на иномарку </t>
  </si>
  <si>
    <t xml:space="preserve">D4 canbus  Штатный блок на иномарку </t>
  </si>
  <si>
    <t>H1-6000K комплект синий с блоком Zeus</t>
  </si>
  <si>
    <t>H11-6000K  комплект черный с блоком Zeus</t>
  </si>
  <si>
    <t>H11-6000K комплект синий с блоком Zeus</t>
  </si>
  <si>
    <t>H3-6000K  комплект черный с блоком Zeus</t>
  </si>
  <si>
    <t>H3-6000K комплект синий с блоком Zeus</t>
  </si>
  <si>
    <t>H4-6000K  комплект черный с блоком Zeus</t>
  </si>
  <si>
    <t>H7-6000K комплект синий с блоком Zeus</t>
  </si>
  <si>
    <t>H7-6000K комплект черный с блоком Zeus</t>
  </si>
  <si>
    <t>LED C6 H1 - 4300K (КУЛЕР) Zeus</t>
  </si>
  <si>
    <t>LED C6 H1 - 6000K (КУЛЕР) Zeus</t>
  </si>
  <si>
    <t>LED C6 H11 - 4300K (КУЛЕР) Zeus</t>
  </si>
  <si>
    <t>LED C6 H3 - 4300K (КУЛЕР) Zeus</t>
  </si>
  <si>
    <t>LED C6 H3 - 6000K (КУЛЕР) Zeus</t>
  </si>
  <si>
    <t>LED C6 H4 - 4300K (КУЛЕР) Zeus</t>
  </si>
  <si>
    <t>LED C6 H4 - 6000K (КУЛЕР) Zeus</t>
  </si>
  <si>
    <t>LED C6 H7 - 4300K (КУЛЕР) Zeus</t>
  </si>
  <si>
    <t>LED C6 H7 - 5500K 18W (КУЛЕР) Zeus</t>
  </si>
  <si>
    <t>LED C6 H7 - 6000K (КУЛЕР) Zeus</t>
  </si>
  <si>
    <t>LED H1-220W LeadLight Zeus</t>
  </si>
  <si>
    <t>LED H11- 220W LeadLight Zeus</t>
  </si>
  <si>
    <t>LED H7-140W HeadLight Zeus</t>
  </si>
  <si>
    <t>LED HB3-110W 9005 LeadLight Zeus</t>
  </si>
  <si>
    <t>LED HB3-140W LeadLight lc</t>
  </si>
  <si>
    <t>LED HB3-220W 9005 LeadLight Zeus</t>
  </si>
  <si>
    <t>LED HB4-140W HeadLight Zeus</t>
  </si>
  <si>
    <t>LED HB4-140W LeadLight lc Zeus</t>
  </si>
  <si>
    <t>LED LH 23 - 9005 Zeus</t>
  </si>
  <si>
    <t>LED LH 23 - 9006 Zeus</t>
  </si>
  <si>
    <t>LED LH 23 - H7 Zeus</t>
  </si>
  <si>
    <t>LED LH 45 - 9006 (КУЛЕР) Zeus</t>
  </si>
  <si>
    <t>LED LH 45 - H1 (КУЛЕР) Zeus</t>
  </si>
  <si>
    <t>LED LH 45 - H1 (РАДИАТОР) Zeus</t>
  </si>
  <si>
    <t>LED LH 45 - H3 (РАДИАТОР) Zeus</t>
  </si>
  <si>
    <t>LED LH 45 - H4 биксенон (РАДИАТОР) Zeus</t>
  </si>
  <si>
    <t>LED LH 45 - H7 (КУЛЕР) Zeus</t>
  </si>
  <si>
    <t>LED LH 45 - H7 (РАДИАТОР) Zeus</t>
  </si>
  <si>
    <t>LED LH 45 - H8 (КУЛЕР) Zeus</t>
  </si>
  <si>
    <t>LED LH 47 -  9006 (КУЛЕР) Zeus</t>
  </si>
  <si>
    <t>LED LH 47 - H1 (КУЛЕР) Zeus</t>
  </si>
  <si>
    <t>LED LH 47 - H27 (КУЛЕР) Zeus</t>
  </si>
  <si>
    <t>LED LH 47 - H3 (КУЛЕР) Zeus</t>
  </si>
  <si>
    <t>LED LH 47 - H7 (КУЛЕР) Zeus</t>
  </si>
  <si>
    <t>LED LH 47 - H8 (КУЛЕР) Zeus</t>
  </si>
  <si>
    <t>LED S1 - H7 6000K 24W Zeus</t>
  </si>
  <si>
    <t>LED T15 3030 16 SMD 85*85*19 48W 12/24V M-59 Zeus</t>
  </si>
  <si>
    <t>LED T15 3030 16 SMD 85*85*19 48W 12/24V P-11 Zeus</t>
  </si>
  <si>
    <t>LED T15 3030 24 SMD 50*11 2W SD-80 Zeus</t>
  </si>
  <si>
    <t>LED T15 7020 SMD 50*11 2W SD-79 Zeus</t>
  </si>
  <si>
    <t>LED T15 7030 9 SMD 50*11 2W SD-78 Zeus</t>
  </si>
  <si>
    <t>LED Линзы P40 Zeus</t>
  </si>
  <si>
    <t>LED Линзы P40L Zeus</t>
  </si>
  <si>
    <t>LED Линзы P60L Zeus</t>
  </si>
  <si>
    <t>S11 - H7 красный Zeus</t>
  </si>
  <si>
    <t>S11 - HВ3 красный Zeus</t>
  </si>
  <si>
    <t>S11 - HВ4 красный Zeus</t>
  </si>
  <si>
    <t>S12 - HВ4 черный Zeus</t>
  </si>
  <si>
    <t>Блок PRO Z</t>
  </si>
  <si>
    <t>Блок высокого напряжения MaxLight M9-32 (обновленный)</t>
  </si>
  <si>
    <t>Блок розжига AC SVS Slim под D1 9-16V 35W</t>
  </si>
  <si>
    <t>Блок розжига MTF Light 12V 35W (коннектор D4)</t>
  </si>
  <si>
    <t>Галогенная лампа H1 Lumen Long Life +30% H1 Zeus</t>
  </si>
  <si>
    <t>Галогенная лампа H11 Lumen Long Life +30% H11 Zeus</t>
  </si>
  <si>
    <t>Галогенная лампа H3 Lumen Long Life +30% H3 Zeus</t>
  </si>
  <si>
    <t>Галогенная лампа H7 Lumen Long Life +30% H7 Zeus</t>
  </si>
  <si>
    <t>Галогенная лампа HB3 Lumen Long Life +30% HB3 Zeus</t>
  </si>
  <si>
    <t>Галогенная лампа HB4 Lumen Long Life +30% HB4 Zeus</t>
  </si>
  <si>
    <t>Галогенные лампы H1 Lumen Xenon Vision +30% H1 Zeus</t>
  </si>
  <si>
    <t>Галогенные лампы H4 Lumen Xenon Vision +30% H4 Zeus</t>
  </si>
  <si>
    <t>Галогенные лампы H7 Lumen Xenon Vision +30% H7 Zeus</t>
  </si>
  <si>
    <t>Галогенные лампы HB3 Lumen Xenon Vision +30% HB3 Zeus</t>
  </si>
  <si>
    <t>Галогенные лампы HB4 Lumen Xenon Vision +30% HB4 Zeus</t>
  </si>
  <si>
    <t>Дневные ходовые огни Lumen DRL COBR 2,5 Zeus</t>
  </si>
  <si>
    <t>Дневные ходовые огни Lumen DRL COBR 3 Zeus</t>
  </si>
  <si>
    <t>Ксеноновый блок Clearlight под лампу D2 Zeus</t>
  </si>
  <si>
    <t>Ксеноновый блок Clearlight под лампу D3 Zeus</t>
  </si>
  <si>
    <t>Ксеноновый блок Clearlight под лампу D4 Zeus</t>
  </si>
  <si>
    <t>Лампа LED D1S M15 Zeus</t>
  </si>
  <si>
    <t>Лампа LED D3S M15 Zeus</t>
  </si>
  <si>
    <t>Лампа LED D4S M15 Zeus</t>
  </si>
  <si>
    <t>Лампа Osram Cool Blue Intense H7 12V- 55W (PX26d) (2шт) DuoBox Zeus</t>
  </si>
  <si>
    <t>Лампа Osram Cool Blue Intense H7 12V- 55W (PX26d) Zeus</t>
  </si>
  <si>
    <t>Лампа Philips LongLife EcoVision H11 12V-55W (PGJ19-2) блистер (1шт) Zeus</t>
  </si>
  <si>
    <t>Лампа Philips LongLife EcoVision H4 12V- 60/55W (P43t) (2шт) Zeus</t>
  </si>
  <si>
    <t>Лампа Philips LongLife EcoVision H7 12V- 55W (PX26d) Zeus</t>
  </si>
  <si>
    <t>Лампа галоген SVS 9006 P22d 12V 55W Standart +30% Zeus</t>
  </si>
  <si>
    <t>Лампа галоген SVS H3 12V Standart +30%  Zeus</t>
  </si>
  <si>
    <t>Лампа галоген SVS H4 12V Standart +30% Zeus</t>
  </si>
  <si>
    <t>Лампа галоген SVS H7 12V Standart +30%  Zeus</t>
  </si>
  <si>
    <t>Лампа галоген SVS White 5000K H4 60/55W+W5W Zeus</t>
  </si>
  <si>
    <t>Лампа Галогенная H1 12 V 55W P14.5s White Laser +50% SL Zeus</t>
  </si>
  <si>
    <t>Лампа Галогенная H1 12-55 P14.5s SL Zeus</t>
  </si>
  <si>
    <t>Лампа Галогенная H11 12- 55 SL Zeus</t>
  </si>
  <si>
    <t>Лампа Галогенная H3 12 V 55W White Laser +50% SL Zeus</t>
  </si>
  <si>
    <t>Лампа Галогенная H3 12-55 PK22S SL Zeus</t>
  </si>
  <si>
    <t>Лампа Галогенная H4 12 V 60/55W P43t White Laser +50% SL Zeus</t>
  </si>
  <si>
    <t>Лампа Галогенная H4 12-100/90 p43t SL Zeus</t>
  </si>
  <si>
    <t>Лампа Галогенная H7 12 V 55W P26d White Laser +50% SL Zeus</t>
  </si>
  <si>
    <t>Лампа Галогенная HB3 12 V 55W (P20d) White Laser +50% SL Zeus</t>
  </si>
  <si>
    <t>Лампа Галогеновая H7 12- 55 P26d SL Zeus</t>
  </si>
  <si>
    <t>Лампа ксеноновая AC D1S 4300K Zeus</t>
  </si>
  <si>
    <t>Лампа ксеноновая AC D1S 5000K Zeus</t>
  </si>
  <si>
    <t>Лампа ксеноновая AC D1S 6000k Zeus</t>
  </si>
  <si>
    <t>Лампа ксеноновая AC D2R 5000 Zeus</t>
  </si>
  <si>
    <t>Лампа ксеноновая AC D2R 6000K Zeus</t>
  </si>
  <si>
    <t>Лампа ксеноновая AC D2S 5000к Zeus</t>
  </si>
  <si>
    <t>Лампа ксеноновая AC D2S 6000к Zeus</t>
  </si>
  <si>
    <t>Лампа ксеноновая AC D3S 4300K Zeus</t>
  </si>
  <si>
    <t>Лампа ксеноновая AC D3S 6000k Zeus</t>
  </si>
  <si>
    <t>Лампа ксеноновая AC D4R 4300K Zeus</t>
  </si>
  <si>
    <t>Лампа ксеноновая AC D4R 6000k Zeus</t>
  </si>
  <si>
    <t>Лампа ксеноновая Clearlight D2S 4300K Zeus</t>
  </si>
  <si>
    <t>Лампа ксеноновая Clearlight D4S 4300K Zeus</t>
  </si>
  <si>
    <t>Лампа ксеноновая Lumen Xenon Performance +50% D2S 4300 K Zeus</t>
  </si>
  <si>
    <t>Лампа ксеноновая Lumen Xenon Performance +50% D3S 4300 K Zeus</t>
  </si>
  <si>
    <t>Лампа ксеноновая Lumen Xenon Performance +50% D3S 5000 K Zeus</t>
  </si>
  <si>
    <t>Лампа ксеноновая Lumen Xenon Performance +50% D4R 6000 K Zeus</t>
  </si>
  <si>
    <t>Лампа НВ4(9006) 12-65 P22d SL</t>
  </si>
  <si>
    <t>Светодиодная фара Lumen LWL 48WS-Flood</t>
  </si>
  <si>
    <t>Светодиодная фара Lumen LWL 48WS-Spot</t>
  </si>
  <si>
    <t>Т10S цветные галогены (белый )</t>
  </si>
  <si>
    <t>Штатный блок на иномарку D2</t>
  </si>
  <si>
    <t>Штатный блок на иномарку D2 canbus</t>
  </si>
  <si>
    <t>Динамики 8.1 "С.Ч."  95dB</t>
  </si>
  <si>
    <t>ФОТО</t>
  </si>
  <si>
    <t>Автомобильный мультимедийный плеер 2 DIN, 7 дюймов, Android 10, 2 Гб + 32 Гб ОЗУ, GPS-навигация, BT, DAB, FM, USB, Wi-Fi, Авторадио,TDA-7851</t>
  </si>
  <si>
    <t>MOMO SBS-690.2</t>
  </si>
  <si>
    <t>ДИНАМИКИ МОМО SBS-130</t>
  </si>
  <si>
    <t>Цвет графит. Плотность 250г/М².                           В рулоне 75 М²</t>
  </si>
  <si>
    <t>Цвет черный. Плотность 250г/М².                             В рулоне 75 М²</t>
  </si>
  <si>
    <t>Автопроигрыватель  ZEUS Z-1BT</t>
  </si>
  <si>
    <t>Автомобильный MP3 проигрыватель с блютузом 4х10вт</t>
  </si>
  <si>
    <t>ANL1-200А</t>
  </si>
  <si>
    <t>Автомобильный мультимедийный плеер 2 DIN, 9 дюймов, Android 10, 2 Гб + 32 Гб ОЗУ, GPS-навигация, DSP, BT, DAB, FM, USB, Wi-Fi, Авторадио,TDA-7851</t>
  </si>
  <si>
    <t xml:space="preserve">AGU предохранитель+колба 80А </t>
  </si>
  <si>
    <t>AGU предохранитель+ колба 80А (200 шт. в кор.)</t>
  </si>
  <si>
    <t xml:space="preserve">Парктроник </t>
  </si>
  <si>
    <t>Парктроник PARKING  SENSOR SYSTEM</t>
  </si>
  <si>
    <t>Парктроник С ДИСПЛЕЕМ</t>
  </si>
  <si>
    <t>Парктроник PARKING  SENSOR SYSTEM С ДИСПЛЕЕМ</t>
  </si>
  <si>
    <t>20см СОТЫ-ЗЕРНА (цена за 1 шт.)</t>
  </si>
  <si>
    <t>16см СОТЫ-ЗЕРНА (цена за 1 шт.)</t>
  </si>
  <si>
    <t>ZEUS TZ-95</t>
  </si>
  <si>
    <t>Автомагнитола FLYSONIC 9' 1+16 GB Android</t>
  </si>
  <si>
    <t>Автомагнитола ANDROID  10  2+32 4G Sim</t>
  </si>
  <si>
    <t xml:space="preserve"> ZEUS Android 7 Дюймов 2.32 </t>
  </si>
  <si>
    <t xml:space="preserve"> ZEUS Android 9 Дюймов 2.32 </t>
  </si>
  <si>
    <t xml:space="preserve"> ZEUS Android 9 Дюймов 2.32 4G</t>
  </si>
  <si>
    <t xml:space="preserve"> ZEUS Android 10 Дюймов 2.32 4G</t>
  </si>
  <si>
    <t xml:space="preserve"> ZEUS Android 9 Дюймов 4.64 4G </t>
  </si>
  <si>
    <t>Автомобильный мультимедийный плеер 2 DIN, 10 дюймов, Android 10, 8ядер. 2 Гб + 32 Гб ОЗУ, GPS-навигация, BT, DAB, FM, USB, Wi-Fi, без dvd, Авторадио.  ПОДДЕРЖКА СИМ-КАРТЫ 4G</t>
  </si>
  <si>
    <t>Автомобильный мультимедийный плеер 2 DIN,10 дюймов, Android 10, 2 Гб + 32 Гб ОЗУ, GPS-навигация, DSP, BT, DAB, FM, USB, Wi-Fi,4G Авторадио,ВЕНТИЛЯТОР. TDA-7851</t>
  </si>
  <si>
    <t>ZEUS D-4.400</t>
  </si>
  <si>
    <t xml:space="preserve"> ZEUS Android 9.5 Дюймов 4.64 4G </t>
  </si>
  <si>
    <t>Автомобильный мультимедийный плеер 2 DIN, 9.5 дюймов, Android 10, 4 Гб + 64 Гб ОЗУ, GPS-навигация, BT, DAB, FM, USB, Wi-Fi,4G Авторадио,ВЕНТИЛЯТОР. TDA-7851</t>
  </si>
  <si>
    <t>MОМО UB-1200.V3</t>
  </si>
  <si>
    <t>ZEUS Android 7 Дюймов 4.64</t>
  </si>
  <si>
    <t>Автомобильный мультимедийный плеер 2 DIN, 7 дюймов, Android 10, 4 Гб + 64 Гб ОЗУ, GPS-навигация, BT, DAB, FM, USB,BT 5.0, Wi-Fi, Авторадио,TDA-7851</t>
  </si>
  <si>
    <t>ZEUS AB-2.60</t>
  </si>
  <si>
    <t>ZEUS FR-2.500</t>
  </si>
  <si>
    <t>ZEUS FR-2.700</t>
  </si>
  <si>
    <t>МОМО TS-1215</t>
  </si>
  <si>
    <r>
      <rPr>
        <i/>
        <sz val="14"/>
        <color theme="1"/>
        <rFont val="Calibri"/>
        <family val="2"/>
        <charset val="204"/>
        <scheme val="minor"/>
      </rPr>
      <t xml:space="preserve"> ZEUS Android </t>
    </r>
    <r>
      <rPr>
        <sz val="14"/>
        <color theme="1"/>
        <rFont val="Calibri"/>
        <family val="2"/>
        <charset val="204"/>
        <scheme val="minor"/>
      </rPr>
      <t>9 Дюймов 1.16</t>
    </r>
  </si>
  <si>
    <t>Мультимедийные плееры Android</t>
  </si>
  <si>
    <t>Камера заднего вида AHD-1080Р на ножках</t>
  </si>
  <si>
    <t>Камера заднего вида AHD-1080Р врезная</t>
  </si>
  <si>
    <t>Камера заднего вида HD качества на ножках</t>
  </si>
  <si>
    <t>Камера заднего вида AHD-720Р на ножках</t>
  </si>
  <si>
    <t>Камера заднего вида AHD-720Р врезная</t>
  </si>
  <si>
    <r>
      <t xml:space="preserve">Автомобильный мультимедийный плеер 2 DIN, 9 дюймов, Android 10, 8ядер. 2 Гб + 32 Гб ОЗУ, GPS-навигация, BT, DAB, FM, USB, Wi-Fi, без dvd, Авторадио.           </t>
    </r>
    <r>
      <rPr>
        <i/>
        <u/>
        <sz val="12"/>
        <color theme="1"/>
        <rFont val="Calibri"/>
        <family val="2"/>
        <charset val="204"/>
        <scheme val="minor"/>
      </rPr>
      <t xml:space="preserve"> ПОДДЕРЖКА СИМ-КАРТЫ 4G</t>
    </r>
  </si>
  <si>
    <t>Дистрибьютор питания DB-4</t>
  </si>
  <si>
    <t>РРЦ</t>
  </si>
  <si>
    <t>Дил. цена</t>
  </si>
  <si>
    <t>Разветвитель 2 папа- 1 мама</t>
  </si>
  <si>
    <t>Разветвитель 1 папа- 2 мама</t>
  </si>
  <si>
    <t>Предохранитель 200G(без колбы)</t>
  </si>
  <si>
    <t>Колба + Предохранитель 150A</t>
  </si>
  <si>
    <t>Колба + Предохранитель 100A</t>
  </si>
  <si>
    <t>Модель</t>
  </si>
  <si>
    <r>
      <t>РУПОРА /</t>
    </r>
    <r>
      <rPr>
        <b/>
        <i/>
        <sz val="18"/>
        <color theme="1"/>
        <rFont val="Calibri"/>
        <family val="2"/>
        <charset val="204"/>
        <scheme val="minor"/>
      </rPr>
      <t>пищалки</t>
    </r>
    <r>
      <rPr>
        <b/>
        <sz val="18"/>
        <color theme="1"/>
        <rFont val="Calibri"/>
        <family val="2"/>
        <charset val="204"/>
        <scheme val="minor"/>
      </rPr>
      <t>/</t>
    </r>
  </si>
  <si>
    <t>САБВУФЕРЫ</t>
  </si>
  <si>
    <t>Итого:</t>
  </si>
  <si>
    <t>Mоноблок 1х5000WT 1 om  с бразильской схемотехникой  Кол-во каналов 1 (Моноблок)
Диапазон частот, 10-20000Гц
Мощность RMS в 1 Ом, 5100Вт
Мощность RMS в 2 Ом, 4000Вт
Мощность RMS в 4 Ом, 3100Вт
Минимальное сопротивление нагрузки на канал, 1 Ом
Фильтр низких частот, 10-1000Гц
Кроссовер, дБ/Окт12
Входной терминал, Ga0
Выходной терминал, Ga8
Рабочее напряжение, В10-15В
Сигнал/Шум, Дб 90</t>
  </si>
  <si>
    <t>Колонки коаксиальные 130мм
Максимальная мощность 140ВТ
Чувствительность 92ДБ</t>
  </si>
  <si>
    <r>
      <rPr>
        <b/>
        <sz val="22"/>
        <color theme="1"/>
        <rFont val="Fregatbold"/>
        <charset val="204"/>
      </rPr>
      <t>MOMO - Modern Original Music Organization</t>
    </r>
    <r>
      <rPr>
        <b/>
        <sz val="14"/>
        <color theme="1"/>
        <rFont val="Fregatbold"/>
        <charset val="204"/>
      </rPr>
      <t xml:space="preserve">
📞 Тел.: 8 967 408 31 11
✉️ Почта: mail@momo-eq.ru
🌐 Сайт: www.mo.net.ru
📸 Instagram: mo.net.ru</t>
    </r>
  </si>
  <si>
    <t>РОЦ</t>
  </si>
  <si>
    <t>Кол-во комплектов в ящике</t>
  </si>
  <si>
    <t xml:space="preserve">ЭСТРАДНЫЕ ДИНАМИКИ </t>
  </si>
  <si>
    <t>Сетки Гриль M-8.1</t>
  </si>
  <si>
    <t>Сетки Гриль М-6.5</t>
  </si>
  <si>
    <t>ZEUS M-600</t>
  </si>
  <si>
    <t>МОНОБЛОКИ</t>
  </si>
  <si>
    <t>УСИЛИТЕЛИ</t>
  </si>
  <si>
    <t>MOMO ACHILLES</t>
  </si>
  <si>
    <t>MOMO HE-810.4</t>
  </si>
  <si>
    <t>ZEUS AB-4.100</t>
  </si>
  <si>
    <t xml:space="preserve">  ZEUS AB-4.60</t>
  </si>
  <si>
    <t xml:space="preserve">  ZEUS M-1.2300</t>
  </si>
  <si>
    <t>Автомобильный мультимедийный плеер 2 DIN, 1 Гб + 16 ОЗУ, 9 дюймов, Android 9, 1 Гб + 16 Гб ОЗУ, GPS-навигация, BT, DAB, FM, USB, Wi-Fi, без dvd, Авторадио</t>
  </si>
  <si>
    <t>Диаметр - "25cm                                    Мощность MAX - 300 W                        Мощность RMS - 150 BT              Чувствительность ДБ - 97.5                  Диапозон частот- 60 - 20 000 Гц      Импеданс - 4  Ом                                   Звуковая катушка - 1,5 Дюйма KSV</t>
  </si>
  <si>
    <t>Диаметр - "13cm                                     Мощность MAX -  120 BT                     Мощность RMS - 60BT                 Чувствительность ДБ - 90                    Диапозон частот- 120-12000 Гц        Импеданс -  4 Ом                                 Звуковая катушка - Каптон 1 Дюйм</t>
  </si>
  <si>
    <t>Диаметр - "165mm                            Мощность MAX - 160 W                   Мощность RMS - 90 BT           Чувствительность ДБ - 93                Диапозон частот- 100 - 10 000 Гц Импеданс -  4 Ом                             Звуковая катушка - 1 Дюйм KSV</t>
  </si>
  <si>
    <t>Диаметр - "16,5см                            Мощность MAX - 340 W                   Мощность RMS -170  BT           Чувствительность ДБ - 100                Диапозон частот-  115-15 00 Гц Импеданс -  4 Ом                             Звуковая катушка - 1,5 Дюм KSV</t>
  </si>
  <si>
    <t>Диаметр - "165mm                            Мощность MAX -140  W                   Мощность RMS -70  BT           Чувствительность ДБ - 93                Диапозон частот- 100-10 000  Гц        Импеданс -  4 Ом                             Звуковая катушка - 1 Дюм KCCAW</t>
  </si>
  <si>
    <t>Диаметр - "200mm                            Мощность MAX -  150W                   Мощность RMS -  75BT           Чувствительность ДБ - 100                 Диапозон частот-  2 000-20 000 Гц Импеданс -  4 Ом                             Звуковая катушка - 1.8 Дюйм KSV</t>
  </si>
  <si>
    <t xml:space="preserve">Диаметр - "100mm                            Мощность MAX - 150 W                   Мощность RMS - 50BT           Чувствительность ДБ - 92                 Диапозон частот-  2 000-20  000 Гц Импеданс -  4 Ом                             Звуковая катушка -  1 Дюйм </t>
  </si>
  <si>
    <t>Диаметр - "100X50mm                         Мощность MAX - 150 W                   Мощность RMS - 75BT           Чувствительность ДБ - 95                  Диапозон частот - 3 000-20 000  Гц Импеданс -  4 Ом                             Звуковая катушка -  1.2 Дюйм KSV</t>
  </si>
  <si>
    <t>Диаметр - "165mm                         Мощность MAX - 150 W                   Мощность RMS - 75 BT           Чувствительность ДБ - 93                   Диапозон частот - 55-20 000 Гц Импеданс -  4 Ом                             Звуковая катушка -  1 Дюйм KSV</t>
  </si>
  <si>
    <t>Диаметр - "165mm                         Мощность MAX - 150 W                   Мощность RMS - 75 BT           Чувствительность ДБ - 90                   Диапозон частот - 75-20 000 Гц Импеданс -  4 Ом                             Звуковая катушка -  1 Дюйм KSV</t>
  </si>
  <si>
    <t>Диаметр - "165mm                         Мощность MAX - 140 W                   Мощность RMS - 70 BT           Чувствительность ДБ - 90                   Диапозон частот - 60-22 000 Гц Импеданс -  4 Ом                             Звуковая катушка -  1.5 Дюйм KSV</t>
  </si>
  <si>
    <t>Диаметр - "165mm                         Мощность MAX - 160 W                   Мощность RMS - 80 BT           Чувствительность ДБ - 94                   Диапозон частот - 75-15 000 Гц Импеданс -  4 Ом                             Звуковая катушка -  1 Дюйм KSV</t>
  </si>
  <si>
    <t>Диаметр - 6X9 Дюймов                        Мощность MAX - 140W                   Мощность RMS - 90 BT           Чувствительность ДБ - 88                   Диапозон частот - 65-20 000 Гц Импеданс -  4 Ом                             Звуковая катушка -  1.5 Дюйм KSV</t>
  </si>
  <si>
    <t>Диаметр - "254mm                                                                     Мощность MAX - 1 200 W                                                            Мощность RMS - 600 BT                                                 Чувствительность ДБ - 88                                                        Диапозон частот - 32-1 200 Гц                                                         Звуковая катушка - двойная 2.5 черный алюминий</t>
  </si>
  <si>
    <t xml:space="preserve">Диаметр - "mm                                                                     Мощность MAX -  W                                                            Мощность RMS -  BT                                                 Чувствительность ДБ -                                                         Диапозон частот -  Гц                                                            Звуковая катушка - </t>
  </si>
  <si>
    <t>Диаметр - 12 дюймов                                                                     Мощность MAX - 1600 W                                                            Мощность RMS - 800 BT                                                 Чувствительность ДБ -  87                                                       Диапозон частот -  40-500 Гц                                                            Звуковая катушка - 3 дюйма черный алюминий, двойная</t>
  </si>
  <si>
    <t xml:space="preserve">Диаметр - 15 дюймов                                                                    Мощность MAX - 2200 W                                                            Мощность RMS - 1100 BT                                                 Чувствительность ДБ - 89                                                        Диапозон частот - 37-550 Гц                                                            Звуковая катушка - 3 дюйма </t>
  </si>
  <si>
    <t xml:space="preserve">Диаметр - 12 дюймов                                                                         Мощность MAX - 5000 W                                                            Мощность RMS - 2500 BT                                                 Чувствительность ДБ - 88                                                       Диапозон частот - 32-1000 Гц                                                         Звуковая катушка - 4х слойная катушка 3 дюйма </t>
  </si>
  <si>
    <t>Диаметр - 12.6 дюймов                                                                     Мощность MAX - 1500 W                                                            Мощность RMS - 650 BT                                                 Чувствительность ДБ - 85                                                        Диапозон частот - 37-550 Гц                                                            Звуковая катушка - 3 дюйма</t>
  </si>
  <si>
    <t>Диаметр - 12 дюймов                                                                     Мощность MAX - 700 W                                                            Мощность RMS - 350 BT                                                 Чувствительность ДБ - 89                                                        Диапозон частот - 35-1000 Гц                                                           Звуковая катушка - 2 дюйма</t>
  </si>
  <si>
    <t>Количество каналов: 1
Класс усилителя: не указан
Номинальная выходная мощность (RMS, 14,4 В, THD &lt;1%):
 • 4 Ом: 500 Вт/• 2 Ом: 770 Вт/• 1 Ом: 1100 Вт
Диапазон воспроизводимых частот: 10 Гц – 180 Гц
Фильтр низких частот (LPF): 40 Гц – 180 Гц
Сабсоник-фильтр: 10 Гц – 50 Гц
Коэффициент гармонических искажений (THD): &lt;0.2%
**Соотношение сигнал/шум:** &gt;90 дБ
Предохранители: 3 шт (номинал не указан)
Защиты: от перегрузки, короткого замыкания, перегрева</t>
  </si>
  <si>
    <t>Количество каналов: 1
Класс усилителя: не указан
Номинальная выходная мощность (RMS, 14,4 В, THD &lt;1%):
 • 4 Ом: 210 Вт/2 Ом: 315 Вт/• 1 Ом: 500 Вт
Пиковая мощность (с клиппингом, 14,4 В):
 • 4 Ом: 340 Вт/• 2 Ом: 493 Вт/• 1 Ом: 725 Вт
КПД: 80%
Диапазон воспроизводимых частот: 10 Гц – 20 кГц
Фильтр низких частот (LPF): 50 Гц – 20 кГц
Коэффициент гармонических искажений (THD): &lt;0.2%
**Соотношение сигнал/шум:** &gt;90 дБ
Входная чувствительность: 0,2 – 6 В
Предохранители: 2 × 30 А
Защиты: от перегрузки, короткого замыкания, перегрева</t>
  </si>
  <si>
    <t>Количество каналов: 1
Номинальная выходная мощность (RMS, предположительно 14,4 В):
 • 4 Ом: 850 Вт/• 2 Ом: 1400 Вт/• 1 Ом: 2300 Вт
Диапазон воспроизводимых частот: 10 Гц – 180 Гц
Фильтр низких частот (LPF): 40 Гц – 180 Гц
Коэффициент гармонических искажений (THD): &lt;0.2%
**Соотношение сигнал/шум:** &gt;70 дБ
Входная чувствительность: 0,2 – 6 В</t>
  </si>
  <si>
    <t>Количество каналов: 1
Класс усилителя: D
Номинальная выходная мощность (RMS): 1500 Вт
Минимальное сопротивление нагрузки: 1 Ом
Диапазон воспроизводимых частот: 50 Гц – 20 кГц
Фильтр низких частот (LPF): 10 Гц – 1 кГц
Фильтр высоких частот (HPF): 50 Гц – 20 кГц
Соотношение сигнал/шум: 85 дБ</t>
  </si>
  <si>
    <t>Количество каналов: 1
Номинальная выходная мощность (RMS, 14,4 В):
 • 4 Ом: 650 Вт
 • 2 Ом: 900 Вт
 • 1 Ом: 1200 Вт
Диапазон воспроизводимых частот: 10 Гц – 250 Гц
Фильтр низких частот (LPF): 50 Гц – 250 Гц
Соотношение сигнал/шум: 85 дБ</t>
  </si>
  <si>
    <t>Количество каналов: 1
Класс усилителя: D
Номинальная выходная мощность (RMS):
 • 4 Ом: 450 Вт/• 2 Ом: 700 Вт/• 1 Ом: 1000 Вт
Диапазон воспроизводимых частот: не указан (предположительно 10–180 Гц)
Фильтр низких частот (LPF): 40 Гц – 180 Гц
Сабсоник-фильтр: 10 Гц – 50 Гц
Совместная работа LPF/HPF: Нет
Соотношение сигнал/шум: 95 дБ
Входная чувствительность: 0,2 – 6 В
Выносной регулятор: Да  Размеры (Д×Ш×В): 340 × 230 × 50 мм</t>
  </si>
  <si>
    <t>Количество каналов: 1
Номинальная выходная мощность (RMS, 14,4 В, THD &lt;1%):
 • 4 Ом: 350 Вт/• 2 Ом: 570 Вт/• 1 Ом: 800 Вт
Диапазон воспроизводимых частот: 10 Гц – 300 Гц
Фильтр низких частот (LPF): 40 Гц – 180 Гц
Коэффициент гармонических искажений (THD): &lt;0.1%
**Соотношение сигнал/шум:** &gt;100 дБ
Входная чувствительность: 0,2 – 6 В
Предохранители: 2 × 30 А (выносного типа)
Выносной регулятор: в комплекте
Защиты: от перегрузки, короткого замыкания, перегрева
Размеры (Д×Ш×В): 320 × 220 × 50 мм</t>
  </si>
  <si>
    <t>Количество каналов: 1
Класс усилителя: D
Номинальная выходная мощность (RMS):
 • 4 Ом: 260 Вт/• 2 Ом: 450 Вт/• 1 Ом: 600 Вт
Диапазон воспроизводимых частот: 10 Гц – 250 Гц
Фильтр низких частот (LPF): 50 Гц – 250 Гц
Соотношение сигнал/шум: 85 дБ</t>
  </si>
  <si>
    <t>Mоноблок 1х3000WT 1 om  с бразильской схемотехникой                                                        1 Ом, х Вт1 х 3000/2 Ом, х Вт1 х 1500/4 Ом, х Вт1 х 800
Количество каналов 1/ Класс D/Цвет Чёрный
Фильтр низких частот (LOW Pass), Гц80 - 20000
Фильтр высоких частот (HIGH Pass), Гц15 - 80
Диапазон воспроизводимых частот, Гц10 - 20000
Отношение сигнал/шум, дБ90.</t>
  </si>
  <si>
    <t>Тип: Широкополосный усилитель
Количество каналов: 2
Максимальная выходная мощность: 1800 Вт
Номинальная выходная мощность (RMS):
• 1 Ом: 2 × 900 Вт  • 2 Ом: 2 × 900 Вт • 4 Ом: 1 × 480 Вт (мостовое подключение)
Диапазон воспроизводимых частот: 10 Гц – 10 кГц
Фильтр низких частот (LPF): 35 Гц – 1000 Гц
Фильтр высоких частот (HPF): 10 Гц – 1000 Гц
Регулировка фазы: 0° – 180°
Соотношение сигнал/шум: 95 дБ
Входная чувствительность: 0,2 – 6 В
Рабочее напряжение: 10 – 15 В</t>
  </si>
  <si>
    <t>Тип: Широкополосный усилитель
Количество каналов: 2
Номинальная выходная мощность (RMS):
 • 4 Ом: 2 × 270 Вт • 2 Ом: 2 × 650 Вт • 1 Ом: 2 × 1100 Вт
Диапазон воспроизводимых частот: 10 Гц – 20 кГц
Фильтр низких частот (LPF): 40 Гц – 180 Гц
Сабсоник-фильтр: 10 Гц – 50 Гц
Коэффициент гармонических искажений (THD): &lt;0.2%
**Соотношение сигнал/шум:** &gt;90 дБ
Защиты: от перегрузки, короткого замыкания, перегрева</t>
  </si>
  <si>
    <t>Тип: Двухканальный усилитель
Количество каналов: 2
Номинальная выходная мощность (RMS, 14,4 В):
• 4 Ом (стерео): 2 × 60 Вт• 2 Ом (стерео): 2 × 90 Вт• 4 Ом (мост): 1 × 180 Вт
Диапазон воспроизводимых частот: 20 Гц – 20 кГц
Фильтр низких частот (LPF): 50 Гц – 200 Гц
Фильтр высоких частот (HPF): 50 Гц – 8 кГц
Соотношение сигнал/шум: 90 дБ</t>
  </si>
  <si>
    <t>Тип: Четырёхканальный усилитель
Количество каналов: 4
**Номинальная выходная мощность (RMS, 14,4 В, THD &lt;1%):**
 • 4 Ом: 4 × 120 Вт+F22 • 2 Ом: 4 × 180 Вт • 4 Ом (мост): 2 × 280 Вт
**Диапазон воспроизводимых частот:** 10 Гц – 30 кГц
**Фильтр низких частот (LPF):** 50 Гц – 250 Гц
**Фильтр высоких частот (HPF):** 40 Гц – 8 кГц
**Соотношение сигнал/шум:** &gt;80 дБ
Входная чувствительность: 0,2 – 6 В
Предохранители: 2 × 40 А
Защиты: от перегрузки, короткого замыкания, перегрева</t>
  </si>
  <si>
    <t>Тип: Четырёхканальный усилитель
Количество каналов: 4
Номинальная выходная мощность (RMS):
 • 4 Ом: 4 × 100 Вт • 2 Ом: 4 × 150 Вт • 4 Ом (мост): 2 × 300 Вт
Диапазон воспроизводимых частот: 20 Гц – 20 кГц
Соотношение сигнал/шум: 90 дБ
Входная чувствительность: 0,2 – 6 В
Предохранители: 2 × 25 А
Фильтр низких частот (LPF): 30 Гц – 8 кГц
Фильтр высоких частот (HPF): 30 Гц – 8 кГц
Размеры (Д×Ш×В): 294 × 187 × 52 мм</t>
  </si>
  <si>
    <t>Тип: Четырёхканальный усилитель
Количество каналов: 4
Номинальная выходная мощность (RMS):
 • 4 Ом: 4 × 80 Вт • 2 Ом: 4 × 120 Вт • 4 Ом (мост): 2 × 300 Вт
Максимальная мощность: 700 Вт
Диапазон воспроизводимых частот: 15 Гц – 20 кГц
Соотношение сигнал/шум: 95 дБ
Входная чувствительность: 0,2 – 6 В
Фильтр низких частот (LPF): 120 Гц – 3 кГц
Фильтр высоких частот (HPF): 50 Гц – 250 Гц
Предохранители: 2 × 35 А
Защиты: от перегрузки, короткого замыкания, перегрева
Размеры (Д×Ш×В): 410 × 240 × 70 мм</t>
  </si>
  <si>
    <t>Тип: Четырёхканальный усилитель
Количество каналов: 4
Номинальная выходная мощность (RMS):
 • 4 Ом: 4 × 60 Вт • 2 Ом: 4 × 90 Вт • 4 Ом (мост): 2 × 180 Вт
Диапазон воспроизводимых частот: 20 Гц – 20 кГц
Соотношение сигнал/шум: 90 дБ
Входная чувствительность: 0,2 – 6 В
Предохранители: 2 × 25 А
Фильтр низких частот (LPF): 30 Гц – 8 кГц
Фильтр высоких частот (HPF): 30 Гц – 8 кГц
Размеры (Д×Ш×В): 294 × 187 × 52 мм</t>
  </si>
  <si>
    <t>Тип: Четырёхканальный усилитель
Количество каналов: 4
Номинальная выходная мощность (RMS):
 • 4 Ом: 4 × 160 Вт • 2 Ом: 4 × 280 Вт • 1 Ом: 4 × 400 Вт
Диапазон воспроизводимых частот: 20 Гц – 25 кГц
Фильтр низких частот (LPF): 50 Гц – 6 кГц
Фильтр высоких частот (HPF): 15 Гц – 6 кГц
Соотношение сигнал/шум: 90 дБ
Коэффициент гармонических искажений (THD): не указан
Защиты: от перегрузки, короткого замыкания, перегрева</t>
  </si>
  <si>
    <t>Тип: Широкополосный усилитель
Количество каналов: 2
Номинальная выходная мощность (RMS):
 • 4 Ом: 250 Вт • 2 Ом: 420 Вт • 1 Ом: 700 Вт
Минимальное сопротивление на канал: 1 Ом
Диапазон воспроизводимых частот: 10 Гц – 180 Гц
Фильтр низких частот (LPF): 40 Гц – 180 Гц
Соотношение сигнал/шум: &gt;90 дБ</t>
  </si>
  <si>
    <t>Количество каналов: 4
Класс усилителя: D
Минимальное сопротивление нагрузки: 2 Ом
Номинальная мощность (4 Ом): 150 Вт на канал
Номинальная выходная мощность (RMS):
 • 4 Ом: 4 × 150 Вт • 2 Ом: 4 × 210 Вт • 4 Ом (мост): 2 × 320 Вт
Диапазон воспроизводимых частот: 40 Гц – 2 кГц
Фильтр низких частот (LPF): 10 Гц – 2,8 кГц
Фильтр высоких частот (HPF): 40 Гц – 30 кГц
Соотношение сигнал/шум: &gt;90 дБ
Размеры (Д×Ш×В): 251 × 115 × 53 мм</t>
  </si>
  <si>
    <t>Тип: Четырёхканальный усилитель
Количество каналов: 4
Номинальная мощность: 75 Вт на канал
Номинальная выходная мощность (RMS):
 • 4 Ом: 4 × 70 Вт
 • 2 Ом: 4 × 110 Вт
Диапазон регулировки LPF: 50 Гц – 250 Гц
Диапазон регулировки HPF: 40 Гц – 8 кГц
Соотношение сигнал/шум: &gt;88 дБ
Входная чувствительность: 0,2 – 6 В
Номинал предохранителя: 40 А
Размеры (Д×Ш×В): 365 × 220 × 56 мм</t>
  </si>
  <si>
    <t>Конденсатор  3.3UF 250V</t>
  </si>
  <si>
    <t>250V мощность 3.3UF/Комплект 2 штуки</t>
  </si>
  <si>
    <t>Автомобильный мультимедийный плеер 2 DIN, 9 дюймов,  Процессор 8 ядер 1.6 Ггц, Экран QLED 1280 x 720, Android 10, 4 Гб + 64 Гб ОЗУ, GPS-навигация, BT-5.0, DAB, FM, USB, Wi-Fi,4G Авторадио,ВЕНТИЛЯТОР. усилитель звука TDA 7388</t>
  </si>
  <si>
    <t>Автомобильный мультимедийный плеер 2 DIN, 9 дюймов, Процессор 8 ядер 1.6 Ггц Android 10, 4 Гб + 64 Гб ОЗУ, GPS-навигация, BT, DAB, FM, USB, Wi-Fi,4G Авторадио,МОЩНЫЙ ВЕНТИЛЯТОР  .Встроенный усилитель звука DSP  Toshiba 001</t>
  </si>
  <si>
    <t xml:space="preserve"> ZEUS Android 9 Дюймов 4.64 4G DSP (Digital Sound Processor)</t>
  </si>
  <si>
    <t>MOMO HE-612</t>
  </si>
  <si>
    <t>В бордовом цвете        Максимальная мощность 200Вт
Номинальная мощность 100Вт
Диапазон частот 100-15000Гц
Звуковая катушка 1.25"KCCAW
Магнит 120х20 / SPL 101Дб</t>
  </si>
  <si>
    <t>MOMO HE-615   (MID BASS)</t>
  </si>
  <si>
    <t>Диаметр - 12 дюймов                                                                        Мощность MAX - 1100                                                                 Мощность RMS - 450 W                                                   Чувствительность ДБ - 88                                                        Диапозон частот - 30-1000 Гц                                                           Звуковая катушка - 2 дюйма</t>
  </si>
  <si>
    <t>16 СМ (ЦЕНА ЗА 1 ШТ)</t>
  </si>
  <si>
    <t>20 СМ (ЦЕНА ЗА 1 ШТ)</t>
  </si>
  <si>
    <t>Сетки Гриль М-165</t>
  </si>
  <si>
    <t>Сетки Гриль М-200</t>
  </si>
  <si>
    <t>Луженая медь, 100m, 2х1,2мм2</t>
  </si>
  <si>
    <t>Медь, 100m, 2х2,52мм2</t>
  </si>
  <si>
    <t>Луженая медь, 100m, 2х2,52мм2</t>
  </si>
  <si>
    <t>Медь, 100m, 2х1,2мм2</t>
  </si>
  <si>
    <t>Омедненный алюминий, 100m, 2х1,2мм2</t>
  </si>
  <si>
    <t>Медь, 50m, 8,4mm2</t>
  </si>
  <si>
    <t>Луженая медь, 50m, 8,4mm2</t>
  </si>
  <si>
    <t xml:space="preserve">Медь, 50m, 21mm2 </t>
  </si>
  <si>
    <t xml:space="preserve">Луженая медь, 50m, 21mm2 </t>
  </si>
  <si>
    <t xml:space="preserve"> MOMO UB-12.350</t>
  </si>
  <si>
    <t>ZEUS B-12.450</t>
  </si>
  <si>
    <t>Диаметр - "mm                              Мощность MAX - 160 W                   Мощность RMS - 80 BT           Чувствительность ДБ - 94                   Диапозон частот - 75-15 000 Гц Импеданс -  4 Ом                             Звуковая катушка -  1 Дюйм KSV</t>
  </si>
  <si>
    <t xml:space="preserve">ZEUS MR-130 </t>
  </si>
  <si>
    <t>MOMO BD-2000.1</t>
  </si>
  <si>
    <t>MOMO M-4.150</t>
  </si>
  <si>
    <t xml:space="preserve">Mоноблок 1х2000WT 1 om  с бразильской схемотехникой                         1 Ом-2000вт/2 Ом-1250вт/4 Ом - 700вт
Фильтр низких частот , Гц80 - 200кГц
Фильтр высоких частот , Гц15 - 1кГц
Диапазон воспроизводимых частот, Гц20 - 20кГц
Отношение сигнал/шум, дБ70.                                                         Чувствительность:0,2-6V                                                                          Размеры: 150мм-226мм-66мм                                              </t>
  </si>
  <si>
    <t>SC-14GA-TC Луженая медь v.2 2x2mm</t>
  </si>
  <si>
    <t>SC-17GA-TC Луженая медь v.2 2x1mm</t>
  </si>
  <si>
    <t>SC-17GA-CU Медь v.2 2x1mm</t>
  </si>
  <si>
    <t>SC-14GA-CU Медь v.2 2x2mm</t>
  </si>
  <si>
    <t xml:space="preserve">SC-17GA-ССА Омедненный алюминий v.2 2x1mm </t>
  </si>
  <si>
    <t>PC-4GA-CU Медь 5х21мм2 v.2 50m</t>
  </si>
  <si>
    <t>PC-4GA-TC Луженая медь 5х21мм2 v.2 50m</t>
  </si>
  <si>
    <t>PC-8GA-CU Mедь 3,2х8,4мм2 v.2 50m</t>
  </si>
  <si>
    <t>PC-8GA-TC  Луженая медь 3,2х8,4мм2 v.2 50m</t>
  </si>
  <si>
    <t xml:space="preserve">SC-15GA-ТС Луженая медь v.2 1,45x1,76mm2 </t>
  </si>
  <si>
    <t xml:space="preserve">SC-15GA-СU Mедь v.2 1,45x1,76mm2 </t>
  </si>
  <si>
    <t xml:space="preserve">SC-15GA-CCA Омедненный алюминий v.2 1,45x1,76mm2 </t>
  </si>
  <si>
    <t xml:space="preserve">Омедненный алюминий, 100m, 1,45x1,76mm2 </t>
  </si>
  <si>
    <t xml:space="preserve">Медь, 100m, 1,45x1,76mm2 </t>
  </si>
  <si>
    <t xml:space="preserve">Луженая медь, 100m, 1,45x1,76mm2 </t>
  </si>
  <si>
    <t>Широкополосный усилитель                                                                Минимальное сопротивление: 2 Ом                                             количество каналов: 2                                                                    Номинальная мощность: 500 Вт                                                                Фильтр высоких частот: 30 Гц - 8 кГц                                                         Фильтр низких частот: 50 Гц - 300 Гц                                                       Класс уссилителя: D                                                                            Коэффициент гармонических искажений (THD),%: &lt; 0,05                      Крутизна спада, дБ/Окт: 12                                                                   Усиление баса (BASS BOOST), Дб: 0 - 12                                                Входной терминал, Ga: 4                                                                                                        Выходной терминал, Ga: 8                                                                                        Рабочее напряжение, В: 11 - 15   Отношение сигнал/шум, дБ: &gt; 90</t>
  </si>
  <si>
    <t xml:space="preserve">МОМО HE-400  </t>
  </si>
  <si>
    <t>PC-4GA-CCA (06ga) - Силовой кабель Омедн-й алюминий 50m (2 шт./кор.)</t>
  </si>
  <si>
    <t>PC-4GA-СU (06ga) - Силовой кабель Медь 50m (2 шт./кор.)</t>
  </si>
  <si>
    <t>PC-4GA-ТC (06ga) - Силовой кабель Луженая медь 50m (2 шт./кор.)</t>
  </si>
  <si>
    <t>PC-8GA-ССA - Силовой кабель Омедн-й алюминий 50m (4 шт./кор.)</t>
  </si>
  <si>
    <t>SC-10GA-CCA (12ga) - Акустический кабель Омедн-й алюминий 50m (4 шт./кор.)</t>
  </si>
  <si>
    <t>SC-10GA-CCA (12ga) - Акустический кабель Омедн-й алюминий 100m (2 шт./кор.)</t>
  </si>
  <si>
    <t>SC-10GA-CU - Акустический кабель медь 50m</t>
  </si>
  <si>
    <t>SC-10GA-CU (12GA) - Акустический кабель 50m (2 шт./кор.)</t>
  </si>
  <si>
    <t>SC-10GA-TC (12) - Акустический кабель Лужёная медь 50m (2 шт./кор.)</t>
  </si>
  <si>
    <t>SC-14-CCA Акустический кабель 50 м (8 шт./кор.)</t>
  </si>
  <si>
    <t>SC-14-CU Акустический кабель 50 м (8 шт./кор.)</t>
  </si>
  <si>
    <t>SC-14-TC Акустический кабель 50 м (8 шт./кор.)</t>
  </si>
  <si>
    <t>SC-18GA-CCA - Акустический кабель Омедн-й алюминий 100m (4 шт./кор.)</t>
  </si>
  <si>
    <t>ZEUS US-650</t>
  </si>
  <si>
    <t>MMO UB-10.250</t>
  </si>
  <si>
    <t xml:space="preserve">Диаметр - "165mm                         Мощность MAX - 140 W                   Мощность RMS - 70 BT           Чувствительность ДБ - 90                   Диапозон частот - 60-22 000 Гц Импеданс -  4 Ом                                     Cреднечастотник: Целюлоза                  Высокочастотник: Титан              </t>
  </si>
  <si>
    <r>
      <t xml:space="preserve">Диаметр - 10 дюймов                                                                    Номинал: 2+ 2 ОМ                                                                       Мощность MAX - 500 W                                                            Мощность RMS - 250 BT                                                 Чувствительность ДБ -  88                                                                                                                   </t>
    </r>
    <r>
      <rPr>
        <b/>
        <sz val="14"/>
        <color theme="1"/>
        <rFont val="Calibri"/>
        <family val="2"/>
        <charset val="204"/>
        <scheme val="minor"/>
      </rPr>
      <t>VAS 19.6476L / QTS 1.09 / FS 42.48Гц / X-MAX 12 / QMS 7.55 / QES 1.27 / BL 5.23 / SPL 88 dB</t>
    </r>
  </si>
  <si>
    <t>Диаметр - "130mm                                Мощность MAX - 140 W                        Мощность RMS - 70 BT              Чувствительность ДБ - 93                     Диапозон частот- 175 - 10 000 Гц    Импеданс -  4 Ом                                  Звуковая катушка - Каптон 1 Дюйм</t>
  </si>
  <si>
    <t>MOMO SBS-165</t>
  </si>
  <si>
    <t>ZEUS B-12.400</t>
  </si>
  <si>
    <t>Количество каналов: 1
RMS (4 Ом): 1×250 Вт
RMS (2 Ом): 1×400 Вт
Фильтр низких частот: 60 Гц – 22 кГц
Фильтр высоких частот: 10–700 Гц
Входная чувствительность: 0,4–8 В
THD: ≤0,2%
Предохранитель: 1×35 А                                                                                                        Защиты: от перегрузки, короткого замыкания, перегрева</t>
  </si>
  <si>
    <t>«10 Гц – 20 кГц» — «Диапазон частот»;
- «85 дБ» — «Соотношение сигнал/шум»;
- «D» — «Класс усилителя».
- Номинальная мощность (1 Ом): 1450 Вт
- Номинальная мощность (2 Ом): 1050 Вт
- Номинальная мощность (4 Ом): 650 Вт
- Входная чувствительность: 0.2 – 6 В
- Коэффициент искажений (THD): &lt;0.1%</t>
  </si>
  <si>
    <t>MOMO BD-1500.1</t>
  </si>
  <si>
    <t xml:space="preserve">                                                                 АВТОМАГНИТОЛЫ</t>
  </si>
  <si>
    <t>MOMO HE-815.3</t>
  </si>
  <si>
    <t>Диаметр - 6x9 дюймов
Мощность MAX - 200 W
Мощность RMS - 100 Вт
Чувствительность дБ - 91
Диапазон частот - 75-17000 Гц
Импеданс - 4 Ом
Звуковая катушка - 1.2 Дюйм KSV</t>
  </si>
  <si>
    <t>Динамики 8.1 "С.Ч." 20см
Максимальная мощность 160ВТ
Чувствительность 90ДБ</t>
  </si>
  <si>
    <t>Диаметр - "210mm                            Мощность MAX - 340 W                   Мощность RMS - 170 BT           Чувствительность ДБ - 97              Диапозон частот- 80 - 10 000 Гц Импеданс -  4 Ом                             Звуковая катушка - 1,5 Дюм  KSV</t>
  </si>
  <si>
    <t>Диаметр - "200mm                            Мощность MAX - 300 W                   Мощность RMS - 150 BT           Чувствительность ДБ - 95                Диапозон частот- 80 - 10 000 Гц Импеданс -  4 Ом                             Звуковая катушка - 30,5mm KSV</t>
  </si>
  <si>
    <t>Динамики  6.5 "С.Ч." катушка 1,5 дюйма, RMS 150 ВТ, MAX220 Вт,93 Дб, 70 - 10 000 Гц</t>
  </si>
  <si>
    <t xml:space="preserve">ZEUS B 12.750.3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</si>
</sst>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\ _₽"/>
    <numFmt numFmtId="165" formatCode="#\ ##0.00"/>
  </numFmts>
  <fonts count="30">
    <font>
      <sz val="10"/>
      <name val="Arial"/>
      <family val="2"/>
      <charset val="204"/>
    </font>
    <font>
      <sz val="11"/>
      <color indexed="8"/>
      <name val="Calibri"/>
      <family val="2"/>
      <charset val="204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color rgb="FF000000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</font>
    <font>
      <i/>
      <sz val="14"/>
      <color theme="1"/>
      <name val="Calibri"/>
      <family val="2"/>
      <charset val="204"/>
      <scheme val="minor"/>
    </font>
    <font>
      <sz val="14"/>
      <color theme="1"/>
      <name val="Arial"/>
      <family val="2"/>
    </font>
    <font>
      <sz val="14"/>
      <name val="Arial"/>
      <family val="2"/>
    </font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</font>
    <font>
      <i/>
      <u/>
      <sz val="12"/>
      <color theme="1"/>
      <name val="Calibri"/>
      <family val="2"/>
      <charset val="204"/>
      <scheme val="minor"/>
    </font>
    <font>
      <sz val="12"/>
      <color theme="1"/>
      <name val="Arial"/>
      <family val="2"/>
    </font>
    <font>
      <b/>
      <sz val="14"/>
      <color theme="1"/>
      <name val="Fregatbold"/>
      <charset val="204"/>
    </font>
    <font>
      <b/>
      <sz val="22"/>
      <color theme="1"/>
      <name val="Fregatbold"/>
      <charset val="204"/>
    </font>
    <font>
      <b/>
      <sz val="16"/>
      <color theme="1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  <font>
      <b/>
      <i/>
      <sz val="18"/>
      <color theme="1"/>
      <name val="Calibri"/>
      <family val="2"/>
      <charset val="204"/>
      <scheme val="minor"/>
    </font>
    <font>
      <b/>
      <sz val="20"/>
      <color theme="1"/>
      <name val="Calibri"/>
      <family val="2"/>
      <charset val="204"/>
      <scheme val="minor"/>
    </font>
    <font>
      <b/>
      <sz val="16"/>
      <name val="Arial"/>
      <family val="2"/>
      <charset val="204"/>
    </font>
    <font>
      <sz val="14"/>
      <name val="Arial"/>
      <family val="2"/>
      <charset val="204"/>
    </font>
    <font>
      <sz val="16"/>
      <color theme="1"/>
      <name val="Calibri"/>
      <family val="2"/>
      <charset val="204"/>
      <scheme val="minor"/>
    </font>
    <font>
      <sz val="16"/>
      <name val="Calibri"/>
      <family val="2"/>
      <charset val="204"/>
      <scheme val="minor"/>
    </font>
    <font>
      <sz val="14"/>
      <name val="Calibri"/>
      <family val="2"/>
      <charset val="204"/>
    </font>
    <font>
      <b/>
      <sz val="14"/>
      <name val="Arial"/>
      <family val="2"/>
      <charset val="204"/>
    </font>
    <font>
      <sz val="14"/>
      <color theme="1"/>
      <name val="Arial"/>
      <family val="2"/>
      <charset val="204"/>
    </font>
    <font>
      <sz val="14"/>
      <color theme="1"/>
      <name val="Calibri"/>
      <family val="2"/>
      <charset val="204"/>
    </font>
    <font>
      <sz val="14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FF00"/>
        <bgColor rgb="FF00FF00"/>
      </patternFill>
    </fill>
    <fill>
      <patternFill patternType="solid">
        <fgColor rgb="FF00FF00"/>
        <bgColor rgb="FF757070"/>
      </patternFill>
    </fill>
    <fill>
      <patternFill patternType="solid">
        <fgColor rgb="FF00FF00"/>
        <bgColor rgb="FF7030A0"/>
      </patternFill>
    </fill>
    <fill>
      <patternFill patternType="solid">
        <fgColor rgb="FF00FF00"/>
        <bgColor rgb="FF1DFF83"/>
      </patternFill>
    </fill>
    <fill>
      <patternFill patternType="solid">
        <fgColor rgb="FF33CC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46FA3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8">
    <xf numFmtId="0" fontId="0" fillId="0" borderId="0"/>
    <xf numFmtId="0" fontId="1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</cellStyleXfs>
  <cellXfs count="142">
    <xf numFmtId="0" fontId="0" fillId="0" borderId="0" xfId="0"/>
    <xf numFmtId="0" fontId="5" fillId="0" borderId="0" xfId="1" applyFont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1" applyFont="1" applyFill="1" applyBorder="1" applyAlignment="1">
      <alignment horizontal="center" vertical="center"/>
    </xf>
    <xf numFmtId="0" fontId="5" fillId="2" borderId="1" xfId="1" applyFont="1" applyFill="1" applyBorder="1" applyAlignment="1">
      <alignment horizontal="center" vertical="center" wrapText="1"/>
    </xf>
    <xf numFmtId="0" fontId="5" fillId="3" borderId="1" xfId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2" borderId="1" xfId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5" fillId="2" borderId="1" xfId="1" applyFont="1" applyFill="1" applyBorder="1" applyAlignment="1">
      <alignment horizontal="right" vertical="center"/>
    </xf>
    <xf numFmtId="0" fontId="5" fillId="0" borderId="1" xfId="1" applyFont="1" applyBorder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1" fontId="5" fillId="0" borderId="0" xfId="1" applyNumberFormat="1" applyFont="1" applyAlignment="1">
      <alignment horizontal="center" vertical="center"/>
    </xf>
    <xf numFmtId="1" fontId="6" fillId="4" borderId="1" xfId="7" applyNumberFormat="1" applyFont="1" applyFill="1" applyBorder="1" applyAlignment="1">
      <alignment horizontal="center" vertical="center"/>
    </xf>
    <xf numFmtId="1" fontId="6" fillId="8" borderId="1" xfId="7" applyNumberFormat="1" applyFont="1" applyFill="1" applyBorder="1" applyAlignment="1">
      <alignment horizontal="center" vertical="center"/>
    </xf>
    <xf numFmtId="1" fontId="6" fillId="9" borderId="1" xfId="7" applyNumberFormat="1" applyFont="1" applyFill="1" applyBorder="1" applyAlignment="1">
      <alignment horizontal="center" vertical="center"/>
    </xf>
    <xf numFmtId="0" fontId="5" fillId="0" borderId="1" xfId="5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0" borderId="1" xfId="1" applyFont="1" applyBorder="1" applyAlignment="1">
      <alignment horizontal="center" vertical="center" wrapText="1"/>
    </xf>
    <xf numFmtId="0" fontId="10" fillId="0" borderId="1" xfId="4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0" borderId="1" xfId="3" applyFont="1" applyBorder="1" applyAlignment="1">
      <alignment horizontal="center" vertical="center" wrapText="1"/>
    </xf>
    <xf numFmtId="1" fontId="5" fillId="2" borderId="0" xfId="1" applyNumberFormat="1" applyFont="1" applyFill="1" applyAlignment="1">
      <alignment horizontal="center" vertical="center"/>
    </xf>
    <xf numFmtId="0" fontId="5" fillId="2" borderId="4" xfId="1" applyFont="1" applyFill="1" applyBorder="1" applyAlignment="1">
      <alignment horizontal="center" vertical="center" wrapText="1"/>
    </xf>
    <xf numFmtId="1" fontId="6" fillId="4" borderId="1" xfId="0" applyNumberFormat="1" applyFont="1" applyFill="1" applyBorder="1" applyAlignment="1">
      <alignment horizontal="center" vertical="center"/>
    </xf>
    <xf numFmtId="0" fontId="16" fillId="12" borderId="1" xfId="0" applyFont="1" applyFill="1" applyBorder="1" applyAlignment="1">
      <alignment horizontal="center" vertical="center" wrapText="1"/>
    </xf>
    <xf numFmtId="1" fontId="16" fillId="12" borderId="1" xfId="1" applyNumberFormat="1" applyFont="1" applyFill="1" applyBorder="1" applyAlignment="1">
      <alignment horizontal="center" vertical="center" wrapText="1"/>
    </xf>
    <xf numFmtId="0" fontId="16" fillId="12" borderId="1" xfId="1" applyFont="1" applyFill="1" applyBorder="1" applyAlignment="1">
      <alignment horizontal="center" vertical="center"/>
    </xf>
    <xf numFmtId="0" fontId="16" fillId="12" borderId="1" xfId="1" applyFont="1" applyFill="1" applyBorder="1" applyAlignment="1">
      <alignment horizontal="center" vertical="center" wrapText="1"/>
    </xf>
    <xf numFmtId="164" fontId="16" fillId="12" borderId="1" xfId="1" applyNumberFormat="1" applyFont="1" applyFill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vertical="center" wrapText="1"/>
    </xf>
    <xf numFmtId="2" fontId="5" fillId="0" borderId="1" xfId="1" applyNumberFormat="1" applyFont="1" applyBorder="1" applyAlignment="1">
      <alignment horizontal="center" vertical="center"/>
    </xf>
    <xf numFmtId="2" fontId="5" fillId="2" borderId="1" xfId="1" applyNumberFormat="1" applyFont="1" applyFill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0" fontId="6" fillId="0" borderId="1" xfId="7" applyFont="1" applyBorder="1" applyAlignment="1">
      <alignment horizontal="center" vertical="center"/>
    </xf>
    <xf numFmtId="0" fontId="6" fillId="10" borderId="1" xfId="7" applyFont="1" applyFill="1" applyBorder="1" applyAlignment="1">
      <alignment horizontal="center" vertical="center"/>
    </xf>
    <xf numFmtId="0" fontId="20" fillId="5" borderId="1" xfId="0" applyFont="1" applyFill="1" applyBorder="1" applyAlignment="1">
      <alignment horizontal="center" vertical="center"/>
    </xf>
    <xf numFmtId="2" fontId="20" fillId="5" borderId="1" xfId="0" applyNumberFormat="1" applyFont="1" applyFill="1" applyBorder="1" applyAlignment="1">
      <alignment horizontal="center" vertical="center"/>
    </xf>
    <xf numFmtId="0" fontId="21" fillId="0" borderId="0" xfId="0" applyFont="1"/>
    <xf numFmtId="1" fontId="9" fillId="0" borderId="1" xfId="5" applyNumberFormat="1" applyFont="1" applyBorder="1" applyAlignment="1">
      <alignment horizontal="center" vertical="center" wrapText="1"/>
    </xf>
    <xf numFmtId="4" fontId="5" fillId="6" borderId="1" xfId="0" applyNumberFormat="1" applyFont="1" applyFill="1" applyBorder="1" applyAlignment="1">
      <alignment horizontal="center" vertical="center"/>
    </xf>
    <xf numFmtId="4" fontId="20" fillId="5" borderId="1" xfId="0" applyNumberFormat="1" applyFont="1" applyFill="1" applyBorder="1" applyAlignment="1">
      <alignment horizontal="center" vertical="center"/>
    </xf>
    <xf numFmtId="4" fontId="5" fillId="2" borderId="1" xfId="1" applyNumberFormat="1" applyFont="1" applyFill="1" applyBorder="1" applyAlignment="1">
      <alignment horizontal="center" vertical="center"/>
    </xf>
    <xf numFmtId="4" fontId="5" fillId="0" borderId="1" xfId="0" applyNumberFormat="1" applyFont="1" applyBorder="1" applyAlignment="1">
      <alignment horizontal="center" vertical="center" wrapText="1"/>
    </xf>
    <xf numFmtId="4" fontId="5" fillId="0" borderId="1" xfId="1" applyNumberFormat="1" applyFont="1" applyBorder="1" applyAlignment="1">
      <alignment horizontal="center" vertical="center"/>
    </xf>
    <xf numFmtId="4" fontId="5" fillId="3" borderId="1" xfId="1" applyNumberFormat="1" applyFont="1" applyFill="1" applyBorder="1" applyAlignment="1">
      <alignment horizontal="center" vertical="center"/>
    </xf>
    <xf numFmtId="4" fontId="5" fillId="0" borderId="1" xfId="0" applyNumberFormat="1" applyFont="1" applyBorder="1" applyAlignment="1">
      <alignment horizontal="center" vertical="center"/>
    </xf>
    <xf numFmtId="4" fontId="5" fillId="0" borderId="2" xfId="0" applyNumberFormat="1" applyFont="1" applyBorder="1" applyAlignment="1">
      <alignment horizontal="center" vertical="center" wrapText="1"/>
    </xf>
    <xf numFmtId="4" fontId="5" fillId="0" borderId="1" xfId="1" applyNumberFormat="1" applyFont="1" applyBorder="1" applyAlignment="1">
      <alignment horizontal="center" vertical="center" wrapText="1"/>
    </xf>
    <xf numFmtId="4" fontId="5" fillId="4" borderId="1" xfId="1" applyNumberFormat="1" applyFont="1" applyFill="1" applyBorder="1" applyAlignment="1">
      <alignment horizontal="center" vertical="center"/>
    </xf>
    <xf numFmtId="4" fontId="5" fillId="2" borderId="1" xfId="0" applyNumberFormat="1" applyFont="1" applyFill="1" applyBorder="1" applyAlignment="1">
      <alignment horizontal="center" vertical="center" wrapText="1"/>
    </xf>
    <xf numFmtId="4" fontId="5" fillId="2" borderId="1" xfId="1" applyNumberFormat="1" applyFont="1" applyFill="1" applyBorder="1" applyAlignment="1">
      <alignment horizontal="center" vertical="center" wrapText="1"/>
    </xf>
    <xf numFmtId="4" fontId="6" fillId="4" borderId="1" xfId="7" applyNumberFormat="1" applyFont="1" applyFill="1" applyBorder="1" applyAlignment="1">
      <alignment horizontal="center" vertical="center"/>
    </xf>
    <xf numFmtId="4" fontId="5" fillId="4" borderId="1" xfId="0" applyNumberFormat="1" applyFont="1" applyFill="1" applyBorder="1" applyAlignment="1">
      <alignment horizontal="center" vertical="center"/>
    </xf>
    <xf numFmtId="4" fontId="6" fillId="9" borderId="1" xfId="7" applyNumberFormat="1" applyFont="1" applyFill="1" applyBorder="1" applyAlignment="1">
      <alignment horizontal="center" vertical="center"/>
    </xf>
    <xf numFmtId="4" fontId="6" fillId="9" borderId="1" xfId="0" applyNumberFormat="1" applyFont="1" applyFill="1" applyBorder="1" applyAlignment="1">
      <alignment horizontal="center" vertical="center"/>
    </xf>
    <xf numFmtId="4" fontId="0" fillId="0" borderId="0" xfId="0" applyNumberFormat="1"/>
    <xf numFmtId="4" fontId="9" fillId="13" borderId="1" xfId="5" applyNumberFormat="1" applyFont="1" applyFill="1" applyBorder="1" applyAlignment="1">
      <alignment horizontal="center" vertical="center"/>
    </xf>
    <xf numFmtId="4" fontId="5" fillId="13" borderId="1" xfId="1" applyNumberFormat="1" applyFont="1" applyFill="1" applyBorder="1" applyAlignment="1">
      <alignment horizontal="center" vertical="center"/>
    </xf>
    <xf numFmtId="4" fontId="5" fillId="3" borderId="1" xfId="0" applyNumberFormat="1" applyFont="1" applyFill="1" applyBorder="1" applyAlignment="1">
      <alignment horizontal="center" vertical="center" wrapText="1"/>
    </xf>
    <xf numFmtId="4" fontId="8" fillId="4" borderId="1" xfId="6" applyNumberFormat="1" applyFont="1" applyFill="1" applyBorder="1" applyAlignment="1">
      <alignment horizontal="center" vertical="center"/>
    </xf>
    <xf numFmtId="0" fontId="6" fillId="0" borderId="6" xfId="7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17" fillId="5" borderId="5" xfId="0" applyFont="1" applyFill="1" applyBorder="1" applyAlignment="1">
      <alignment vertical="center"/>
    </xf>
    <xf numFmtId="0" fontId="17" fillId="5" borderId="3" xfId="0" applyFont="1" applyFill="1" applyBorder="1" applyAlignment="1">
      <alignment vertical="center"/>
    </xf>
    <xf numFmtId="0" fontId="5" fillId="13" borderId="1" xfId="1" applyFont="1" applyFill="1" applyBorder="1" applyAlignment="1">
      <alignment horizontal="center" vertical="center"/>
    </xf>
    <xf numFmtId="1" fontId="6" fillId="13" borderId="1" xfId="7" applyNumberFormat="1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/>
    </xf>
    <xf numFmtId="0" fontId="22" fillId="0" borderId="1" xfId="7" applyFont="1" applyBorder="1" applyAlignment="1">
      <alignment horizontal="center" vertical="center"/>
    </xf>
    <xf numFmtId="0" fontId="22" fillId="0" borderId="1" xfId="3" applyFont="1" applyBorder="1" applyAlignment="1">
      <alignment horizontal="center" vertical="center" wrapText="1"/>
    </xf>
    <xf numFmtId="0" fontId="22" fillId="0" borderId="1" xfId="7" applyFont="1" applyBorder="1" applyAlignment="1">
      <alignment horizontal="center" vertical="center" wrapText="1"/>
    </xf>
    <xf numFmtId="0" fontId="22" fillId="0" borderId="1" xfId="1" applyFont="1" applyBorder="1" applyAlignment="1">
      <alignment horizontal="center" vertical="center"/>
    </xf>
    <xf numFmtId="0" fontId="23" fillId="0" borderId="0" xfId="0" applyFont="1"/>
    <xf numFmtId="1" fontId="5" fillId="2" borderId="1" xfId="1" applyNumberFormat="1" applyFont="1" applyFill="1" applyBorder="1" applyAlignment="1">
      <alignment horizontal="center" vertical="center" wrapText="1"/>
    </xf>
    <xf numFmtId="1" fontId="0" fillId="0" borderId="0" xfId="0" applyNumberFormat="1"/>
    <xf numFmtId="0" fontId="10" fillId="0" borderId="1" xfId="0" applyFont="1" applyBorder="1" applyAlignment="1">
      <alignment horizontal="left" vertical="center" wrapText="1"/>
    </xf>
    <xf numFmtId="0" fontId="10" fillId="2" borderId="1" xfId="0" applyFont="1" applyFill="1" applyBorder="1" applyAlignment="1">
      <alignment horizontal="left" vertical="center" wrapText="1"/>
    </xf>
    <xf numFmtId="0" fontId="16" fillId="12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5" fillId="2" borderId="1" xfId="0" applyFont="1" applyFill="1" applyBorder="1" applyAlignment="1">
      <alignment horizontal="left" vertical="center" wrapText="1"/>
    </xf>
    <xf numFmtId="0" fontId="10" fillId="0" borderId="1" xfId="3" applyFont="1" applyBorder="1" applyAlignment="1">
      <alignment horizontal="left" vertical="center" wrapText="1"/>
    </xf>
    <xf numFmtId="0" fontId="11" fillId="0" borderId="1" xfId="7" applyFont="1" applyBorder="1" applyAlignment="1">
      <alignment horizontal="left" vertical="center" wrapText="1"/>
    </xf>
    <xf numFmtId="0" fontId="10" fillId="6" borderId="1" xfId="0" applyFont="1" applyFill="1" applyBorder="1" applyAlignment="1">
      <alignment horizontal="left" vertical="center" wrapText="1"/>
    </xf>
    <xf numFmtId="0" fontId="22" fillId="0" borderId="7" xfId="1" applyFont="1" applyBorder="1" applyAlignment="1">
      <alignment horizontal="center" vertical="center" wrapText="1"/>
    </xf>
    <xf numFmtId="0" fontId="5" fillId="14" borderId="1" xfId="1" applyFont="1" applyFill="1" applyBorder="1" applyAlignment="1">
      <alignment horizontal="center" vertical="center"/>
    </xf>
    <xf numFmtId="0" fontId="5" fillId="2" borderId="0" xfId="1" applyFont="1" applyFill="1" applyAlignment="1">
      <alignment horizontal="center" vertical="center" wrapText="1"/>
    </xf>
    <xf numFmtId="4" fontId="17" fillId="5" borderId="1" xfId="0" applyNumberFormat="1" applyFont="1" applyFill="1" applyBorder="1" applyAlignment="1">
      <alignment vertical="center"/>
    </xf>
    <xf numFmtId="0" fontId="22" fillId="2" borderId="1" xfId="0" applyFont="1" applyFill="1" applyBorder="1" applyAlignment="1">
      <alignment horizontal="left" vertical="center" wrapText="1"/>
    </xf>
    <xf numFmtId="1" fontId="5" fillId="2" borderId="1" xfId="0" applyNumberFormat="1" applyFont="1" applyFill="1" applyBorder="1" applyAlignment="1">
      <alignment horizontal="center" vertical="center" wrapText="1"/>
    </xf>
    <xf numFmtId="4" fontId="6" fillId="4" borderId="7" xfId="7" applyNumberFormat="1" applyFont="1" applyFill="1" applyBorder="1" applyAlignment="1">
      <alignment horizontal="center" vertical="center"/>
    </xf>
    <xf numFmtId="4" fontId="24" fillId="0" borderId="6" xfId="0" applyNumberFormat="1" applyFont="1" applyBorder="1" applyAlignment="1">
      <alignment horizontal="center" vertical="center"/>
    </xf>
    <xf numFmtId="0" fontId="13" fillId="0" borderId="1" xfId="6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8" fillId="15" borderId="1" xfId="6" applyFont="1" applyFill="1" applyBorder="1" applyAlignment="1">
      <alignment horizontal="center" vertical="center" wrapText="1"/>
    </xf>
    <xf numFmtId="3" fontId="16" fillId="12" borderId="1" xfId="1" applyNumberFormat="1" applyFont="1" applyFill="1" applyBorder="1" applyAlignment="1">
      <alignment horizontal="center" vertical="center" wrapText="1"/>
    </xf>
    <xf numFmtId="3" fontId="6" fillId="7" borderId="1" xfId="0" applyNumberFormat="1" applyFont="1" applyFill="1" applyBorder="1" applyAlignment="1">
      <alignment horizontal="center" vertical="center" wrapText="1"/>
    </xf>
    <xf numFmtId="3" fontId="5" fillId="0" borderId="1" xfId="1" applyNumberFormat="1" applyFont="1" applyBorder="1" applyAlignment="1">
      <alignment horizontal="center" vertical="center"/>
    </xf>
    <xf numFmtId="3" fontId="5" fillId="4" borderId="1" xfId="0" applyNumberFormat="1" applyFont="1" applyFill="1" applyBorder="1" applyAlignment="1">
      <alignment horizontal="center" vertical="center" wrapText="1"/>
    </xf>
    <xf numFmtId="3" fontId="6" fillId="7" borderId="1" xfId="0" applyNumberFormat="1" applyFont="1" applyFill="1" applyBorder="1" applyAlignment="1">
      <alignment horizontal="center" vertical="center"/>
    </xf>
    <xf numFmtId="3" fontId="5" fillId="4" borderId="1" xfId="0" applyNumberFormat="1" applyFont="1" applyFill="1" applyBorder="1" applyAlignment="1">
      <alignment horizontal="center" vertical="center"/>
    </xf>
    <xf numFmtId="3" fontId="5" fillId="4" borderId="1" xfId="1" applyNumberFormat="1" applyFont="1" applyFill="1" applyBorder="1" applyAlignment="1">
      <alignment horizontal="center" vertical="center"/>
    </xf>
    <xf numFmtId="3" fontId="0" fillId="0" borderId="0" xfId="0" applyNumberFormat="1"/>
    <xf numFmtId="3" fontId="5" fillId="0" borderId="2" xfId="0" applyNumberFormat="1" applyFont="1" applyBorder="1" applyAlignment="1">
      <alignment horizontal="center" vertical="center" wrapText="1"/>
    </xf>
    <xf numFmtId="3" fontId="5" fillId="0" borderId="1" xfId="1" applyNumberFormat="1" applyFont="1" applyBorder="1" applyAlignment="1">
      <alignment horizontal="center" vertical="center" wrapText="1"/>
    </xf>
    <xf numFmtId="3" fontId="5" fillId="0" borderId="2" xfId="1" applyNumberFormat="1" applyFont="1" applyBorder="1" applyAlignment="1">
      <alignment horizontal="center" vertical="center"/>
    </xf>
    <xf numFmtId="0" fontId="0" fillId="5" borderId="1" xfId="0" applyFill="1" applyBorder="1"/>
    <xf numFmtId="4" fontId="25" fillId="5" borderId="1" xfId="0" applyNumberFormat="1" applyFont="1" applyFill="1" applyBorder="1" applyAlignment="1">
      <alignment horizontal="center" vertical="center"/>
    </xf>
    <xf numFmtId="0" fontId="19" fillId="5" borderId="1" xfId="0" applyFont="1" applyFill="1" applyBorder="1" applyAlignment="1">
      <alignment vertical="center"/>
    </xf>
    <xf numFmtId="0" fontId="26" fillId="0" borderId="1" xfId="6" applyFont="1" applyBorder="1" applyAlignment="1">
      <alignment horizontal="center" vertical="center" wrapText="1"/>
    </xf>
    <xf numFmtId="165" fontId="27" fillId="10" borderId="1" xfId="0" applyNumberFormat="1" applyFont="1" applyFill="1" applyBorder="1" applyAlignment="1">
      <alignment horizontal="center" vertical="center"/>
    </xf>
    <xf numFmtId="165" fontId="28" fillId="0" borderId="1" xfId="0" applyNumberFormat="1" applyFont="1" applyBorder="1" applyAlignment="1">
      <alignment horizontal="center" vertical="center" wrapText="1"/>
    </xf>
    <xf numFmtId="165" fontId="28" fillId="0" borderId="1" xfId="1" applyNumberFormat="1" applyFont="1" applyBorder="1" applyAlignment="1">
      <alignment horizontal="center" vertical="center" wrapText="1"/>
    </xf>
    <xf numFmtId="165" fontId="26" fillId="4" borderId="1" xfId="6" applyNumberFormat="1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5" fillId="14" borderId="1" xfId="1" applyFont="1" applyFill="1" applyBorder="1" applyAlignment="1">
      <alignment horizontal="center" vertical="center" wrapText="1"/>
    </xf>
    <xf numFmtId="0" fontId="0" fillId="0" borderId="1" xfId="0" applyBorder="1"/>
    <xf numFmtId="4" fontId="24" fillId="0" borderId="0" xfId="0" applyNumberFormat="1" applyFont="1" applyBorder="1" applyAlignment="1">
      <alignment horizontal="center" vertical="center"/>
    </xf>
    <xf numFmtId="0" fontId="17" fillId="5" borderId="1" xfId="0" applyFont="1" applyFill="1" applyBorder="1" applyAlignment="1">
      <alignment horizontal="center" vertical="center"/>
    </xf>
    <xf numFmtId="0" fontId="14" fillId="12" borderId="1" xfId="0" applyFont="1" applyFill="1" applyBorder="1" applyAlignment="1">
      <alignment horizontal="center" vertical="center" wrapText="1"/>
    </xf>
    <xf numFmtId="0" fontId="17" fillId="5" borderId="2" xfId="0" applyFont="1" applyFill="1" applyBorder="1" applyAlignment="1">
      <alignment horizontal="left" vertical="center" wrapText="1"/>
    </xf>
    <xf numFmtId="0" fontId="17" fillId="5" borderId="5" xfId="0" applyFont="1" applyFill="1" applyBorder="1" applyAlignment="1">
      <alignment horizontal="left" vertical="center" wrapText="1"/>
    </xf>
    <xf numFmtId="0" fontId="17" fillId="5" borderId="3" xfId="0" applyFont="1" applyFill="1" applyBorder="1" applyAlignment="1">
      <alignment horizontal="left" vertical="center" wrapText="1"/>
    </xf>
    <xf numFmtId="0" fontId="17" fillId="5" borderId="2" xfId="0" applyFont="1" applyFill="1" applyBorder="1" applyAlignment="1">
      <alignment horizontal="center" vertical="center"/>
    </xf>
    <xf numFmtId="0" fontId="17" fillId="5" borderId="5" xfId="0" applyFont="1" applyFill="1" applyBorder="1" applyAlignment="1">
      <alignment horizontal="center" vertical="center"/>
    </xf>
    <xf numFmtId="0" fontId="17" fillId="5" borderId="3" xfId="0" applyFont="1" applyFill="1" applyBorder="1" applyAlignment="1">
      <alignment horizontal="center" vertical="center"/>
    </xf>
    <xf numFmtId="0" fontId="19" fillId="5" borderId="1" xfId="0" applyFont="1" applyFill="1" applyBorder="1" applyAlignment="1">
      <alignment horizontal="center" vertical="center"/>
    </xf>
    <xf numFmtId="0" fontId="19" fillId="5" borderId="2" xfId="0" applyFont="1" applyFill="1" applyBorder="1" applyAlignment="1">
      <alignment horizontal="center" vertical="center"/>
    </xf>
    <xf numFmtId="0" fontId="19" fillId="5" borderId="5" xfId="0" applyFont="1" applyFill="1" applyBorder="1" applyAlignment="1">
      <alignment horizontal="center" vertical="center"/>
    </xf>
    <xf numFmtId="0" fontId="19" fillId="5" borderId="3" xfId="0" applyFont="1" applyFill="1" applyBorder="1" applyAlignment="1">
      <alignment horizontal="center" vertical="center"/>
    </xf>
    <xf numFmtId="0" fontId="17" fillId="5" borderId="1" xfId="0" applyFont="1" applyFill="1" applyBorder="1" applyAlignment="1">
      <alignment horizontal="left" vertical="center" wrapText="1"/>
    </xf>
    <xf numFmtId="0" fontId="17" fillId="11" borderId="2" xfId="1" applyFont="1" applyFill="1" applyBorder="1" applyAlignment="1">
      <alignment horizontal="center" vertical="center"/>
    </xf>
    <xf numFmtId="0" fontId="17" fillId="11" borderId="5" xfId="1" applyFont="1" applyFill="1" applyBorder="1" applyAlignment="1">
      <alignment horizontal="center" vertical="center"/>
    </xf>
    <xf numFmtId="0" fontId="17" fillId="11" borderId="3" xfId="1" applyFont="1" applyFill="1" applyBorder="1" applyAlignment="1">
      <alignment horizontal="center" vertical="center"/>
    </xf>
  </cellXfs>
  <cellStyles count="8">
    <cellStyle name="Excel Built-in Normal" xfId="1" xr:uid="{00000000-0005-0000-0000-000000000000}"/>
    <cellStyle name="Обычный" xfId="0" builtinId="0"/>
    <cellStyle name="Обычный 2" xfId="7" xr:uid="{00000000-0005-0000-0000-000002000000}"/>
    <cellStyle name="Обычный 4" xfId="2" xr:uid="{00000000-0005-0000-0000-000003000000}"/>
    <cellStyle name="Обычный_АВТОАКУСТИКА" xfId="4" xr:uid="{00000000-0005-0000-0000-000004000000}"/>
    <cellStyle name="Обычный_Лист1" xfId="6" xr:uid="{00000000-0005-0000-0000-000005000000}"/>
    <cellStyle name="Обычный_Лист2" xfId="3" xr:uid="{00000000-0005-0000-0000-000006000000}"/>
    <cellStyle name="Обычный_МОМО" xfId="5" xr:uid="{00000000-0005-0000-0000-000007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B7DEE8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D13F"/>
      <rgbColor rgb="00F79646"/>
      <rgbColor rgb="00FF6600"/>
      <rgbColor rgb="00666699"/>
      <rgbColor rgb="00969696"/>
      <rgbColor rgb="00003366"/>
      <rgbColor rgb="0033CC33"/>
      <rgbColor rgb="00003300"/>
      <rgbColor rgb="00333300"/>
      <rgbColor rgb="00993300"/>
      <rgbColor rgb="00993366"/>
      <rgbColor rgb="00333399"/>
      <rgbColor rgb="00333333"/>
    </indexedColors>
    <mruColors>
      <color rgb="FF46FA38"/>
      <color rgb="FF00FF00"/>
      <color rgb="FF2FFF8D"/>
      <color rgb="FF33FF8F"/>
      <color rgb="FFFFFF99"/>
      <color rgb="FF33CCFF"/>
      <color rgb="FF1DFF83"/>
      <color rgb="FF00C459"/>
      <color rgb="FF00BC55"/>
      <color rgb="FF00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06/relationships/rdRichValue" Target="richData/rdrichvalue.xml"/><Relationship Id="rId5" Type="http://schemas.openxmlformats.org/officeDocument/2006/relationships/worksheet" Target="worksheets/sheet5.xml"/><Relationship Id="rId15" Type="http://schemas.microsoft.com/office/2022/10/relationships/richValueRel" Target="richData/richValueRel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alcChain" Target="calcChain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8"/>
  <sheetViews>
    <sheetView zoomScale="55" zoomScaleNormal="55" workbookViewId="0">
      <pane ySplit="2" topLeftCell="A14" activePane="bottomLeft" state="frozen"/>
      <selection pane="bottomLeft" activeCell="E35" sqref="E35"/>
    </sheetView>
  </sheetViews>
  <sheetFormatPr defaultRowHeight="12.75"/>
  <cols>
    <col min="1" max="3" width="23.5703125" customWidth="1"/>
    <col min="4" max="4" width="23.5703125" style="82" customWidth="1"/>
    <col min="5" max="5" width="56.7109375" customWidth="1"/>
    <col min="6" max="6" width="25.140625" customWidth="1"/>
    <col min="7" max="7" width="41.28515625" style="86" customWidth="1"/>
    <col min="8" max="10" width="16" customWidth="1"/>
  </cols>
  <sheetData>
    <row r="1" spans="1:10" ht="121.5" customHeight="1">
      <c r="A1" s="127" t="s">
        <v>310</v>
      </c>
      <c r="B1" s="127"/>
      <c r="C1" s="127"/>
      <c r="D1" s="127"/>
      <c r="E1" s="127"/>
      <c r="F1" s="127"/>
      <c r="G1" s="127"/>
      <c r="H1" s="127"/>
      <c r="I1" s="127"/>
      <c r="J1" s="127"/>
    </row>
    <row r="2" spans="1:10" ht="60.75" customHeight="1">
      <c r="A2" s="32" t="s">
        <v>304</v>
      </c>
      <c r="B2" s="33" t="s">
        <v>298</v>
      </c>
      <c r="C2" s="33" t="s">
        <v>311</v>
      </c>
      <c r="D2" s="33" t="s">
        <v>297</v>
      </c>
      <c r="E2" s="34" t="s">
        <v>250</v>
      </c>
      <c r="F2" s="35" t="s">
        <v>312</v>
      </c>
      <c r="G2" s="85" t="s">
        <v>21</v>
      </c>
      <c r="H2" s="35" t="s">
        <v>1</v>
      </c>
      <c r="I2" s="35" t="s">
        <v>3</v>
      </c>
      <c r="J2" s="36" t="s">
        <v>0</v>
      </c>
    </row>
    <row r="3" spans="1:10" ht="30.75" customHeight="1">
      <c r="A3" s="126" t="s">
        <v>313</v>
      </c>
      <c r="B3" s="126"/>
      <c r="C3" s="126"/>
      <c r="D3" s="126"/>
      <c r="E3" s="126"/>
      <c r="F3" s="126"/>
      <c r="G3" s="126"/>
      <c r="H3" s="126"/>
      <c r="I3" s="126"/>
      <c r="J3" s="126"/>
    </row>
    <row r="4" spans="1:10" ht="120" customHeight="1">
      <c r="A4" s="3" t="s">
        <v>73</v>
      </c>
      <c r="B4" s="19">
        <v>2375</v>
      </c>
      <c r="C4" s="13">
        <f t="shared" ref="C4:C16" si="0">B4*1.1</f>
        <v>2612.5</v>
      </c>
      <c r="D4" s="81">
        <f t="shared" ref="D4:D12" si="1">B4*1.6</f>
        <v>3800</v>
      </c>
      <c r="E4" s="2"/>
      <c r="F4" s="3">
        <v>4</v>
      </c>
      <c r="G4" s="83" t="s">
        <v>325</v>
      </c>
      <c r="H4" s="4" t="s">
        <v>2</v>
      </c>
      <c r="I4" s="37">
        <v>0</v>
      </c>
      <c r="J4" s="37">
        <f>B4*I4</f>
        <v>0</v>
      </c>
    </row>
    <row r="5" spans="1:10" ht="120" customHeight="1">
      <c r="A5" s="3" t="s">
        <v>390</v>
      </c>
      <c r="B5" s="20">
        <v>999</v>
      </c>
      <c r="C5" s="13">
        <f t="shared" si="0"/>
        <v>1098.9000000000001</v>
      </c>
      <c r="D5" s="81">
        <f t="shared" si="1"/>
        <v>1598.4</v>
      </c>
      <c r="E5" s="2"/>
      <c r="F5" s="2">
        <v>6</v>
      </c>
      <c r="G5" s="83" t="s">
        <v>326</v>
      </c>
      <c r="H5" s="5" t="s">
        <v>2</v>
      </c>
      <c r="I5" s="38">
        <v>0</v>
      </c>
      <c r="J5" s="37">
        <f t="shared" ref="J5:J16" si="2">B5*I5</f>
        <v>0</v>
      </c>
    </row>
    <row r="6" spans="1:10" ht="151.5" customHeight="1">
      <c r="A6" s="3" t="s">
        <v>86</v>
      </c>
      <c r="B6" s="19">
        <v>1418</v>
      </c>
      <c r="C6" s="13">
        <f t="shared" si="0"/>
        <v>1559.8000000000002</v>
      </c>
      <c r="D6" s="81">
        <f t="shared" si="1"/>
        <v>2268.8000000000002</v>
      </c>
      <c r="E6" s="2"/>
      <c r="F6" s="2">
        <v>8</v>
      </c>
      <c r="G6" s="83" t="s">
        <v>428</v>
      </c>
      <c r="H6" s="5" t="s">
        <v>2</v>
      </c>
      <c r="I6" s="38">
        <v>0</v>
      </c>
      <c r="J6" s="37">
        <f t="shared" si="2"/>
        <v>0</v>
      </c>
    </row>
    <row r="7" spans="1:10" ht="162" hidden="1" customHeight="1">
      <c r="A7" s="3" t="s">
        <v>119</v>
      </c>
      <c r="B7" s="73">
        <v>1526</v>
      </c>
      <c r="C7" s="13">
        <f t="shared" si="0"/>
        <v>1678.6000000000001</v>
      </c>
      <c r="D7" s="81">
        <f t="shared" si="1"/>
        <v>2441.6</v>
      </c>
      <c r="E7" s="6" t="e" vm="1">
        <v>#VALUE!</v>
      </c>
      <c r="F7" s="2">
        <v>6</v>
      </c>
      <c r="G7" s="84" t="s">
        <v>327</v>
      </c>
      <c r="H7" s="92" t="s">
        <v>7</v>
      </c>
      <c r="I7" s="38">
        <v>0</v>
      </c>
      <c r="J7" s="37">
        <f t="shared" si="2"/>
        <v>0</v>
      </c>
    </row>
    <row r="8" spans="1:10" ht="162" customHeight="1">
      <c r="A8" s="3" t="s">
        <v>370</v>
      </c>
      <c r="B8" s="73">
        <v>2440</v>
      </c>
      <c r="C8" s="13">
        <v>2153</v>
      </c>
      <c r="D8" s="81">
        <f t="shared" si="1"/>
        <v>3904</v>
      </c>
      <c r="E8" s="6"/>
      <c r="F8" s="2">
        <v>4</v>
      </c>
      <c r="G8" s="95" t="s">
        <v>371</v>
      </c>
      <c r="H8" s="5" t="s">
        <v>2</v>
      </c>
      <c r="I8" s="38">
        <v>0</v>
      </c>
      <c r="J8" s="37">
        <f t="shared" si="2"/>
        <v>0</v>
      </c>
    </row>
    <row r="9" spans="1:10" ht="179.25" customHeight="1">
      <c r="A9" s="3" t="s">
        <v>372</v>
      </c>
      <c r="B9" s="73">
        <v>2520</v>
      </c>
      <c r="C9" s="13">
        <f t="shared" si="0"/>
        <v>2772</v>
      </c>
      <c r="D9" s="81">
        <f t="shared" si="1"/>
        <v>4032</v>
      </c>
      <c r="E9" s="2"/>
      <c r="F9" s="2">
        <v>4</v>
      </c>
      <c r="G9" s="83" t="s">
        <v>440</v>
      </c>
      <c r="H9" s="5" t="s">
        <v>2</v>
      </c>
      <c r="I9" s="38">
        <v>0</v>
      </c>
      <c r="J9" s="37">
        <f t="shared" si="2"/>
        <v>0</v>
      </c>
    </row>
    <row r="10" spans="1:10" ht="170.25" customHeight="1">
      <c r="A10" s="3" t="s">
        <v>93</v>
      </c>
      <c r="B10" s="73">
        <v>2770</v>
      </c>
      <c r="C10" s="13">
        <f t="shared" si="0"/>
        <v>3047.0000000000005</v>
      </c>
      <c r="D10" s="81">
        <f t="shared" si="1"/>
        <v>4432</v>
      </c>
      <c r="E10" s="11"/>
      <c r="F10" s="2">
        <v>4</v>
      </c>
      <c r="G10" s="83" t="s">
        <v>59</v>
      </c>
      <c r="H10" s="5" t="s">
        <v>2</v>
      </c>
      <c r="I10" s="38">
        <v>0</v>
      </c>
      <c r="J10" s="37">
        <f t="shared" si="2"/>
        <v>0</v>
      </c>
    </row>
    <row r="11" spans="1:10" ht="170.25" customHeight="1">
      <c r="A11" s="17" t="s">
        <v>435</v>
      </c>
      <c r="B11" s="73">
        <v>3300</v>
      </c>
      <c r="C11" s="13">
        <f t="shared" si="0"/>
        <v>3630.0000000000005</v>
      </c>
      <c r="D11" s="81">
        <f t="shared" si="1"/>
        <v>5280</v>
      </c>
      <c r="E11" s="11"/>
      <c r="F11" s="2">
        <v>4</v>
      </c>
      <c r="G11" s="84" t="s">
        <v>438</v>
      </c>
      <c r="H11" s="5" t="s">
        <v>2</v>
      </c>
      <c r="I11" s="38">
        <v>0</v>
      </c>
      <c r="J11" s="38">
        <v>0</v>
      </c>
    </row>
    <row r="12" spans="1:10" ht="188.25" customHeight="1">
      <c r="A12" s="17" t="s">
        <v>320</v>
      </c>
      <c r="B12" s="73">
        <v>2900</v>
      </c>
      <c r="C12" s="13">
        <f t="shared" si="0"/>
        <v>3190.0000000000005</v>
      </c>
      <c r="D12" s="81">
        <f t="shared" si="1"/>
        <v>4640</v>
      </c>
      <c r="E12" s="11"/>
      <c r="F12" s="11">
        <v>4</v>
      </c>
      <c r="G12" s="84" t="s">
        <v>439</v>
      </c>
      <c r="H12" s="5" t="s">
        <v>2</v>
      </c>
      <c r="I12" s="39">
        <v>0</v>
      </c>
      <c r="J12" s="37">
        <f t="shared" si="2"/>
        <v>0</v>
      </c>
    </row>
    <row r="13" spans="1:10" ht="120" hidden="1" customHeight="1">
      <c r="A13" s="17" t="s">
        <v>46</v>
      </c>
      <c r="B13" s="73">
        <v>4818.3525</v>
      </c>
      <c r="C13" s="96">
        <f t="shared" si="0"/>
        <v>5300.1877500000001</v>
      </c>
      <c r="D13" s="81">
        <f t="shared" ref="D13" si="3">B13*1.5</f>
        <v>7227.5287499999995</v>
      </c>
      <c r="E13" s="11"/>
      <c r="F13" s="11">
        <v>2</v>
      </c>
      <c r="G13" s="84" t="s">
        <v>249</v>
      </c>
      <c r="H13" s="92" t="s">
        <v>7</v>
      </c>
      <c r="I13" s="39">
        <v>0</v>
      </c>
      <c r="J13" s="37">
        <f t="shared" si="2"/>
        <v>0</v>
      </c>
    </row>
    <row r="14" spans="1:10" ht="157.5" customHeight="1">
      <c r="A14" s="3" t="s">
        <v>9</v>
      </c>
      <c r="B14" s="19">
        <v>2980</v>
      </c>
      <c r="C14" s="13">
        <f t="shared" si="0"/>
        <v>3278.0000000000005</v>
      </c>
      <c r="D14" s="81">
        <f>B14*1.6</f>
        <v>4768</v>
      </c>
      <c r="E14" s="2"/>
      <c r="F14" s="2">
        <v>2</v>
      </c>
      <c r="G14" s="84" t="s">
        <v>328</v>
      </c>
      <c r="H14" s="5" t="s">
        <v>2</v>
      </c>
      <c r="I14" s="38">
        <v>0</v>
      </c>
      <c r="J14" s="37">
        <f t="shared" si="2"/>
        <v>0</v>
      </c>
    </row>
    <row r="15" spans="1:10" ht="155.25" customHeight="1">
      <c r="A15" s="17" t="s">
        <v>10</v>
      </c>
      <c r="B15" s="19">
        <v>1050</v>
      </c>
      <c r="C15" s="13">
        <f t="shared" si="0"/>
        <v>1155</v>
      </c>
      <c r="D15" s="81">
        <f>B15*1.6</f>
        <v>1680</v>
      </c>
      <c r="E15" s="11"/>
      <c r="F15" s="11">
        <v>12</v>
      </c>
      <c r="G15" s="84" t="s">
        <v>329</v>
      </c>
      <c r="H15" s="5" t="s">
        <v>2</v>
      </c>
      <c r="I15" s="39">
        <v>0</v>
      </c>
      <c r="J15" s="37">
        <f t="shared" si="2"/>
        <v>0</v>
      </c>
    </row>
    <row r="16" spans="1:10" ht="138.75" customHeight="1">
      <c r="A16" s="17" t="s">
        <v>11</v>
      </c>
      <c r="B16" s="73">
        <v>1375.4412360000001</v>
      </c>
      <c r="C16" s="96">
        <f t="shared" si="0"/>
        <v>1512.9853596000003</v>
      </c>
      <c r="D16" s="81">
        <f>B16*1.6</f>
        <v>2200.7059776000001</v>
      </c>
      <c r="E16" s="11"/>
      <c r="F16" s="11">
        <v>4</v>
      </c>
      <c r="G16" s="84" t="s">
        <v>437</v>
      </c>
      <c r="H16" s="5" t="s">
        <v>2</v>
      </c>
      <c r="I16" s="39">
        <v>0</v>
      </c>
      <c r="J16" s="37">
        <f t="shared" si="2"/>
        <v>0</v>
      </c>
    </row>
    <row r="17" spans="1:10" ht="39.75" customHeight="1">
      <c r="A17" s="131" t="s">
        <v>305</v>
      </c>
      <c r="B17" s="132"/>
      <c r="C17" s="132"/>
      <c r="D17" s="132"/>
      <c r="E17" s="132"/>
      <c r="F17" s="132"/>
      <c r="G17" s="132"/>
      <c r="H17" s="132"/>
      <c r="I17" s="70"/>
      <c r="J17" s="71"/>
    </row>
    <row r="18" spans="1:10" ht="120" hidden="1" customHeight="1">
      <c r="A18" s="9" t="s">
        <v>268</v>
      </c>
      <c r="B18" s="19">
        <v>735</v>
      </c>
      <c r="C18" s="13">
        <f t="shared" ref="C18:C20" si="4">B18*1.1</f>
        <v>808.50000000000011</v>
      </c>
      <c r="D18" s="81">
        <f>B18*1.6</f>
        <v>1176</v>
      </c>
      <c r="E18" s="2"/>
      <c r="F18" s="9">
        <v>20</v>
      </c>
      <c r="G18" s="84" t="s">
        <v>330</v>
      </c>
      <c r="H18" s="92" t="s">
        <v>7</v>
      </c>
      <c r="I18" s="40">
        <v>0</v>
      </c>
      <c r="J18" s="37">
        <f>B18*I18</f>
        <v>0</v>
      </c>
    </row>
    <row r="19" spans="1:10" ht="120" customHeight="1">
      <c r="A19" s="3" t="s">
        <v>4</v>
      </c>
      <c r="B19" s="19">
        <v>961</v>
      </c>
      <c r="C19" s="13">
        <f t="shared" si="4"/>
        <v>1057.1000000000001</v>
      </c>
      <c r="D19" s="81">
        <f>B19*1.6</f>
        <v>1537.6000000000001</v>
      </c>
      <c r="E19" s="2"/>
      <c r="F19" s="2">
        <v>20</v>
      </c>
      <c r="G19" s="84" t="s">
        <v>331</v>
      </c>
      <c r="H19" s="10" t="s">
        <v>2</v>
      </c>
      <c r="I19" s="38">
        <v>0</v>
      </c>
      <c r="J19" s="37">
        <f>B19*I19</f>
        <v>0</v>
      </c>
    </row>
    <row r="20" spans="1:10" ht="120" customHeight="1">
      <c r="A20" s="3" t="s">
        <v>410</v>
      </c>
      <c r="B20" s="31">
        <v>2199</v>
      </c>
      <c r="C20" s="13">
        <f t="shared" si="4"/>
        <v>2418.9</v>
      </c>
      <c r="D20" s="81">
        <f>B20*1.6</f>
        <v>3518.4</v>
      </c>
      <c r="E20" s="2"/>
      <c r="F20" s="2">
        <v>8</v>
      </c>
      <c r="G20" s="84" t="s">
        <v>332</v>
      </c>
      <c r="H20" s="10" t="s">
        <v>2</v>
      </c>
      <c r="I20" s="38">
        <v>0</v>
      </c>
      <c r="J20" s="37">
        <f>B20*I20</f>
        <v>0</v>
      </c>
    </row>
    <row r="21" spans="1:10" ht="33" customHeight="1">
      <c r="A21" s="131" t="s">
        <v>77</v>
      </c>
      <c r="B21" s="132"/>
      <c r="C21" s="132"/>
      <c r="D21" s="132"/>
      <c r="E21" s="132"/>
      <c r="F21" s="132"/>
      <c r="G21" s="132"/>
      <c r="H21" s="132"/>
      <c r="I21" s="70"/>
      <c r="J21" s="71"/>
    </row>
    <row r="22" spans="1:10" ht="120" hidden="1" customHeight="1">
      <c r="A22" s="3" t="s">
        <v>66</v>
      </c>
      <c r="B22" s="19">
        <v>761.01626250000004</v>
      </c>
      <c r="C22" s="13">
        <f t="shared" ref="C22:C29" si="5">B22*1.1</f>
        <v>837.11788875000013</v>
      </c>
      <c r="D22" s="81">
        <f>B22*1.52</f>
        <v>1156.744719</v>
      </c>
      <c r="E22" s="2"/>
      <c r="F22" s="2">
        <v>10</v>
      </c>
      <c r="G22" s="84" t="s">
        <v>333</v>
      </c>
      <c r="H22" s="92" t="s">
        <v>7</v>
      </c>
      <c r="I22" s="38">
        <v>0</v>
      </c>
      <c r="J22" s="37">
        <f t="shared" ref="J22:J30" si="6">B22*I22</f>
        <v>0</v>
      </c>
    </row>
    <row r="23" spans="1:10" ht="120" hidden="1" customHeight="1">
      <c r="A23" s="3" t="s">
        <v>47</v>
      </c>
      <c r="B23" s="19">
        <v>2059</v>
      </c>
      <c r="C23" s="13">
        <f t="shared" si="5"/>
        <v>2264.9</v>
      </c>
      <c r="D23" s="81">
        <f t="shared" ref="D23:D30" si="7">B23*1.6</f>
        <v>3294.4</v>
      </c>
      <c r="E23" s="2"/>
      <c r="F23" s="2">
        <v>8</v>
      </c>
      <c r="G23" s="84" t="s">
        <v>334</v>
      </c>
      <c r="H23" s="92" t="s">
        <v>7</v>
      </c>
      <c r="I23" s="38">
        <v>0</v>
      </c>
      <c r="J23" s="37">
        <f t="shared" si="6"/>
        <v>0</v>
      </c>
    </row>
    <row r="24" spans="1:10" ht="120" customHeight="1">
      <c r="A24" s="3" t="s">
        <v>39</v>
      </c>
      <c r="B24" s="19">
        <v>2069</v>
      </c>
      <c r="C24" s="13">
        <f t="shared" ref="C24" si="8">B24*1.1</f>
        <v>2275.9</v>
      </c>
      <c r="D24" s="81">
        <f t="shared" si="7"/>
        <v>3310.4</v>
      </c>
      <c r="E24" s="2"/>
      <c r="F24" s="2">
        <v>8</v>
      </c>
      <c r="G24" s="84" t="s">
        <v>335</v>
      </c>
      <c r="H24" s="5" t="s">
        <v>2</v>
      </c>
      <c r="I24" s="38">
        <v>0</v>
      </c>
      <c r="J24" s="37">
        <f t="shared" si="6"/>
        <v>0</v>
      </c>
    </row>
    <row r="25" spans="1:10" ht="204.75" customHeight="1">
      <c r="A25" s="3" t="s">
        <v>424</v>
      </c>
      <c r="B25" s="19">
        <v>1690</v>
      </c>
      <c r="C25" s="13">
        <f>B25*1.1</f>
        <v>1859.0000000000002</v>
      </c>
      <c r="D25" s="81">
        <f t="shared" si="7"/>
        <v>2704</v>
      </c>
      <c r="E25" s="2"/>
      <c r="F25" s="2">
        <v>4</v>
      </c>
      <c r="G25" s="84" t="s">
        <v>426</v>
      </c>
      <c r="H25" s="5" t="s">
        <v>2</v>
      </c>
      <c r="I25" s="38">
        <v>0</v>
      </c>
      <c r="J25" s="37">
        <f t="shared" si="6"/>
        <v>0</v>
      </c>
    </row>
    <row r="26" spans="1:10" ht="120" customHeight="1">
      <c r="A26" s="3" t="s">
        <v>252</v>
      </c>
      <c r="B26" s="19">
        <v>1445</v>
      </c>
      <c r="C26" s="13">
        <f t="shared" si="5"/>
        <v>1589.5000000000002</v>
      </c>
      <c r="D26" s="81">
        <f t="shared" si="7"/>
        <v>2312</v>
      </c>
      <c r="E26" s="2"/>
      <c r="F26" s="2">
        <v>6</v>
      </c>
      <c r="G26" s="84" t="s">
        <v>436</v>
      </c>
      <c r="H26" s="5" t="s">
        <v>2</v>
      </c>
      <c r="I26" s="38">
        <v>0</v>
      </c>
      <c r="J26" s="37">
        <f t="shared" si="6"/>
        <v>0</v>
      </c>
    </row>
    <row r="27" spans="1:10" ht="120" hidden="1" customHeight="1">
      <c r="A27" s="3" t="s">
        <v>429</v>
      </c>
      <c r="B27" s="73">
        <v>926.82427500000006</v>
      </c>
      <c r="C27" s="13">
        <f t="shared" si="5"/>
        <v>1019.5067025000002</v>
      </c>
      <c r="D27" s="81">
        <f t="shared" si="7"/>
        <v>1482.9188400000003</v>
      </c>
      <c r="E27" s="2"/>
      <c r="F27" s="2">
        <v>6</v>
      </c>
      <c r="G27" s="84" t="s">
        <v>336</v>
      </c>
      <c r="H27" s="92" t="s">
        <v>7</v>
      </c>
      <c r="I27" s="38">
        <v>0</v>
      </c>
      <c r="J27" s="37">
        <f t="shared" si="6"/>
        <v>0</v>
      </c>
    </row>
    <row r="28" spans="1:10" ht="133.5" customHeight="1">
      <c r="A28" s="3" t="s">
        <v>253</v>
      </c>
      <c r="B28" s="19">
        <v>780</v>
      </c>
      <c r="C28" s="13">
        <f t="shared" si="5"/>
        <v>858.00000000000011</v>
      </c>
      <c r="D28" s="81">
        <f t="shared" si="7"/>
        <v>1248</v>
      </c>
      <c r="E28" s="2"/>
      <c r="F28" s="2">
        <v>6</v>
      </c>
      <c r="G28" s="83" t="s">
        <v>309</v>
      </c>
      <c r="H28" s="5" t="s">
        <v>2</v>
      </c>
      <c r="I28" s="38">
        <v>0</v>
      </c>
      <c r="J28" s="37">
        <f t="shared" si="6"/>
        <v>0</v>
      </c>
    </row>
    <row r="29" spans="1:10" ht="159.75" customHeight="1">
      <c r="A29" s="3" t="s">
        <v>91</v>
      </c>
      <c r="B29" s="73">
        <v>2630</v>
      </c>
      <c r="C29" s="13">
        <f t="shared" si="5"/>
        <v>2893.0000000000005</v>
      </c>
      <c r="D29" s="81">
        <f t="shared" si="7"/>
        <v>4208</v>
      </c>
      <c r="E29" s="2"/>
      <c r="F29" s="2">
        <v>4</v>
      </c>
      <c r="G29" s="84" t="s">
        <v>337</v>
      </c>
      <c r="H29" s="5" t="s">
        <v>2</v>
      </c>
      <c r="I29" s="38">
        <v>0</v>
      </c>
      <c r="J29" s="37">
        <f t="shared" si="6"/>
        <v>0</v>
      </c>
    </row>
    <row r="30" spans="1:10" ht="153.75" hidden="1" customHeight="1">
      <c r="A30" s="3" t="s">
        <v>92</v>
      </c>
      <c r="B30" s="21">
        <v>1680</v>
      </c>
      <c r="C30" s="13">
        <f>B30*1.1</f>
        <v>1848.0000000000002</v>
      </c>
      <c r="D30" s="81">
        <f t="shared" si="7"/>
        <v>2688</v>
      </c>
      <c r="E30" s="2"/>
      <c r="F30" s="2">
        <v>6</v>
      </c>
      <c r="G30" s="84" t="s">
        <v>389</v>
      </c>
      <c r="H30" s="92" t="s">
        <v>7</v>
      </c>
      <c r="I30" s="38">
        <v>0</v>
      </c>
      <c r="J30" s="37">
        <f t="shared" si="6"/>
        <v>0</v>
      </c>
    </row>
    <row r="31" spans="1:10" ht="120" customHeight="1">
      <c r="A31" s="128" t="s">
        <v>307</v>
      </c>
      <c r="B31" s="129"/>
      <c r="C31" s="129"/>
      <c r="D31" s="129"/>
      <c r="E31" s="129"/>
      <c r="F31" s="129"/>
      <c r="G31" s="129"/>
      <c r="H31" s="130"/>
      <c r="I31" s="44">
        <f>SUM(I4:I30)</f>
        <v>0</v>
      </c>
      <c r="J31" s="44">
        <f>SUM(J4:J30)</f>
        <v>0</v>
      </c>
    </row>
    <row r="32" spans="1:10" ht="120" customHeight="1"/>
    <row r="33" ht="120" customHeight="1"/>
    <row r="34" ht="120" customHeight="1"/>
    <row r="35" ht="120" customHeight="1"/>
    <row r="36" ht="120" customHeight="1"/>
    <row r="37" ht="120" customHeight="1"/>
    <row r="38" ht="120" customHeight="1"/>
  </sheetData>
  <mergeCells count="5">
    <mergeCell ref="A3:J3"/>
    <mergeCell ref="A1:J1"/>
    <mergeCell ref="A31:H31"/>
    <mergeCell ref="A17:H17"/>
    <mergeCell ref="A21:H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4"/>
  <sheetViews>
    <sheetView zoomScale="55" zoomScaleNormal="55" workbookViewId="0">
      <pane ySplit="2" topLeftCell="A10" activePane="bottomLeft" state="frozen"/>
      <selection pane="bottomLeft" activeCell="G8" sqref="G8"/>
    </sheetView>
  </sheetViews>
  <sheetFormatPr defaultRowHeight="12.75"/>
  <cols>
    <col min="1" max="1" width="34.85546875" customWidth="1"/>
    <col min="2" max="4" width="14" customWidth="1"/>
    <col min="5" max="5" width="88.7109375" customWidth="1"/>
    <col min="6" max="6" width="17.5703125" customWidth="1"/>
    <col min="7" max="7" width="62.28515625" customWidth="1"/>
    <col min="8" max="9" width="15.28515625" customWidth="1"/>
    <col min="10" max="10" width="31.7109375" customWidth="1"/>
  </cols>
  <sheetData>
    <row r="1" spans="1:10" ht="133.5" customHeight="1">
      <c r="A1" s="127" t="s">
        <v>310</v>
      </c>
      <c r="B1" s="127"/>
      <c r="C1" s="127"/>
      <c r="D1" s="127"/>
      <c r="E1" s="127"/>
      <c r="F1" s="127"/>
      <c r="G1" s="127"/>
      <c r="H1" s="127"/>
      <c r="I1" s="127"/>
      <c r="J1" s="127"/>
    </row>
    <row r="2" spans="1:10" ht="63" customHeight="1">
      <c r="A2" s="32" t="s">
        <v>304</v>
      </c>
      <c r="B2" s="33" t="s">
        <v>298</v>
      </c>
      <c r="C2" s="33" t="s">
        <v>311</v>
      </c>
      <c r="D2" s="33" t="s">
        <v>297</v>
      </c>
      <c r="E2" s="34" t="s">
        <v>250</v>
      </c>
      <c r="F2" s="35" t="s">
        <v>312</v>
      </c>
      <c r="G2" s="32" t="s">
        <v>21</v>
      </c>
      <c r="H2" s="35" t="s">
        <v>1</v>
      </c>
      <c r="I2" s="35" t="s">
        <v>3</v>
      </c>
      <c r="J2" s="36" t="s">
        <v>0</v>
      </c>
    </row>
    <row r="3" spans="1:10" ht="27.75" customHeight="1">
      <c r="A3" s="131" t="s">
        <v>306</v>
      </c>
      <c r="B3" s="132"/>
      <c r="C3" s="132"/>
      <c r="D3" s="132"/>
      <c r="E3" s="132"/>
      <c r="F3" s="132"/>
      <c r="G3" s="132"/>
      <c r="H3" s="132"/>
      <c r="I3" s="132"/>
      <c r="J3" s="133"/>
    </row>
    <row r="4" spans="1:10" ht="175.5" customHeight="1">
      <c r="A4" s="121" t="s">
        <v>60</v>
      </c>
      <c r="B4" s="56">
        <v>3578</v>
      </c>
      <c r="C4" s="57">
        <f>B4*1.1</f>
        <v>3935.8</v>
      </c>
      <c r="D4" s="58">
        <v>5367</v>
      </c>
      <c r="E4" s="11"/>
      <c r="F4" s="11">
        <v>2</v>
      </c>
      <c r="G4" s="87" t="s">
        <v>338</v>
      </c>
      <c r="H4" s="72" t="s">
        <v>2</v>
      </c>
      <c r="I4" s="49">
        <v>0</v>
      </c>
      <c r="J4" s="50">
        <f t="shared" ref="J4:J13" si="0">B4*I4</f>
        <v>0</v>
      </c>
    </row>
    <row r="5" spans="1:10" ht="207" hidden="1" customHeight="1">
      <c r="A5" s="122" t="s">
        <v>281</v>
      </c>
      <c r="B5" s="59">
        <v>3670</v>
      </c>
      <c r="C5" s="57">
        <f t="shared" ref="C5:C11" si="1">B5*1.1</f>
        <v>4037.0000000000005</v>
      </c>
      <c r="D5" s="58">
        <v>5138</v>
      </c>
      <c r="E5" s="2"/>
      <c r="F5" s="2">
        <v>2</v>
      </c>
      <c r="G5" s="87" t="s">
        <v>339</v>
      </c>
      <c r="H5" s="92" t="s">
        <v>7</v>
      </c>
      <c r="I5" s="51">
        <v>0</v>
      </c>
      <c r="J5" s="50">
        <f t="shared" si="0"/>
        <v>0</v>
      </c>
    </row>
    <row r="6" spans="1:10" ht="189.75" customHeight="1">
      <c r="A6" s="122" t="s">
        <v>425</v>
      </c>
      <c r="B6" s="59">
        <v>2550</v>
      </c>
      <c r="C6" s="57">
        <v>2678</v>
      </c>
      <c r="D6" s="58">
        <v>6244</v>
      </c>
      <c r="E6" s="2"/>
      <c r="F6" s="2"/>
      <c r="G6" s="87" t="s">
        <v>427</v>
      </c>
      <c r="H6" s="5" t="s">
        <v>2</v>
      </c>
      <c r="I6" s="51">
        <v>0</v>
      </c>
      <c r="J6" s="50">
        <v>0</v>
      </c>
    </row>
    <row r="7" spans="1:10" ht="204.75" hidden="1" customHeight="1">
      <c r="A7" s="122" t="s">
        <v>287</v>
      </c>
      <c r="B7" s="59">
        <v>4460</v>
      </c>
      <c r="C7" s="57">
        <f t="shared" si="1"/>
        <v>4906</v>
      </c>
      <c r="D7" s="58">
        <v>3825</v>
      </c>
      <c r="E7" s="2"/>
      <c r="F7" s="2">
        <v>2</v>
      </c>
      <c r="G7" s="87" t="s">
        <v>340</v>
      </c>
      <c r="H7" s="92" t="s">
        <v>7</v>
      </c>
      <c r="I7" s="51">
        <v>0</v>
      </c>
      <c r="J7" s="50">
        <f t="shared" si="0"/>
        <v>0</v>
      </c>
    </row>
    <row r="8" spans="1:10" ht="245.25" customHeight="1">
      <c r="A8" s="122" t="s">
        <v>22</v>
      </c>
      <c r="B8" s="59">
        <v>6652</v>
      </c>
      <c r="C8" s="57">
        <f t="shared" si="1"/>
        <v>7317.2000000000007</v>
      </c>
      <c r="D8" s="58">
        <v>9978</v>
      </c>
      <c r="E8" s="2"/>
      <c r="F8" s="2">
        <v>1</v>
      </c>
      <c r="G8" s="87" t="s">
        <v>341</v>
      </c>
      <c r="H8" s="5" t="s">
        <v>2</v>
      </c>
      <c r="I8" s="51">
        <v>0</v>
      </c>
      <c r="J8" s="50">
        <f t="shared" si="0"/>
        <v>0</v>
      </c>
    </row>
    <row r="9" spans="1:10" ht="246.75" hidden="1" customHeight="1">
      <c r="A9" s="121" t="s">
        <v>319</v>
      </c>
      <c r="B9" s="59">
        <v>11900</v>
      </c>
      <c r="C9" s="57">
        <f t="shared" si="1"/>
        <v>13090.000000000002</v>
      </c>
      <c r="D9" s="58">
        <v>17850</v>
      </c>
      <c r="E9" s="11"/>
      <c r="F9" s="11">
        <v>1</v>
      </c>
      <c r="G9" s="87" t="s">
        <v>342</v>
      </c>
      <c r="H9" s="92" t="s">
        <v>7</v>
      </c>
      <c r="I9" s="49">
        <v>0</v>
      </c>
      <c r="J9" s="50">
        <f t="shared" si="0"/>
        <v>0</v>
      </c>
    </row>
    <row r="10" spans="1:10" ht="230.25" customHeight="1">
      <c r="A10" s="122" t="s">
        <v>441</v>
      </c>
      <c r="B10" s="59">
        <v>4615</v>
      </c>
      <c r="C10" s="57">
        <f t="shared" si="1"/>
        <v>5076.5</v>
      </c>
      <c r="D10" s="58">
        <v>7753</v>
      </c>
      <c r="E10" s="11"/>
      <c r="F10" s="2">
        <v>1</v>
      </c>
      <c r="G10" s="87" t="s">
        <v>343</v>
      </c>
      <c r="H10" s="5" t="s">
        <v>2</v>
      </c>
      <c r="I10" s="51">
        <v>0</v>
      </c>
      <c r="J10" s="50">
        <f t="shared" si="0"/>
        <v>0</v>
      </c>
    </row>
    <row r="11" spans="1:10" ht="172.5" customHeight="1">
      <c r="A11" s="122" t="s">
        <v>387</v>
      </c>
      <c r="B11" s="59">
        <v>2652</v>
      </c>
      <c r="C11" s="57">
        <f t="shared" si="1"/>
        <v>2917.2000000000003</v>
      </c>
      <c r="D11" s="58">
        <v>3977.8617644999995</v>
      </c>
      <c r="E11" s="11"/>
      <c r="F11" s="2">
        <v>2</v>
      </c>
      <c r="G11" s="87" t="s">
        <v>344</v>
      </c>
      <c r="H11" s="5" t="s">
        <v>2</v>
      </c>
      <c r="I11" s="51">
        <v>0</v>
      </c>
      <c r="J11" s="50">
        <f t="shared" si="0"/>
        <v>0</v>
      </c>
    </row>
    <row r="12" spans="1:10" ht="178.5" hidden="1" customHeight="1">
      <c r="A12" s="122" t="s">
        <v>430</v>
      </c>
      <c r="B12" s="97">
        <v>3280</v>
      </c>
      <c r="C12" s="57">
        <v>3440.8500000000004</v>
      </c>
      <c r="D12" s="58">
        <f t="shared" ref="D12:D13" si="2">B12*1.6</f>
        <v>5248</v>
      </c>
      <c r="E12" s="11"/>
      <c r="F12" s="2"/>
      <c r="G12" s="87" t="s">
        <v>373</v>
      </c>
      <c r="H12" s="92" t="s">
        <v>7</v>
      </c>
      <c r="I12" s="51"/>
      <c r="J12" s="50"/>
    </row>
    <row r="13" spans="1:10" ht="198.75" hidden="1" customHeight="1">
      <c r="A13" s="122" t="s">
        <v>388</v>
      </c>
      <c r="B13" s="97">
        <v>3280</v>
      </c>
      <c r="C13" s="57">
        <v>3440.8500000000004</v>
      </c>
      <c r="D13" s="58">
        <f t="shared" si="2"/>
        <v>5248</v>
      </c>
      <c r="E13" s="124"/>
      <c r="F13" s="2"/>
      <c r="G13" s="87" t="s">
        <v>373</v>
      </c>
      <c r="H13" s="92" t="s">
        <v>7</v>
      </c>
      <c r="I13" s="51">
        <v>0</v>
      </c>
      <c r="J13" s="50">
        <f t="shared" si="0"/>
        <v>0</v>
      </c>
    </row>
    <row r="14" spans="1:10" ht="23.25">
      <c r="A14" s="128" t="s">
        <v>307</v>
      </c>
      <c r="B14" s="129"/>
      <c r="C14" s="129"/>
      <c r="D14" s="129"/>
      <c r="E14" s="129"/>
      <c r="F14" s="129"/>
      <c r="G14" s="129"/>
      <c r="H14" s="130"/>
      <c r="I14" s="113"/>
      <c r="J14" s="114">
        <f>SUM(J4:J13)</f>
        <v>0</v>
      </c>
    </row>
  </sheetData>
  <mergeCells count="3">
    <mergeCell ref="A1:J1"/>
    <mergeCell ref="A3:J3"/>
    <mergeCell ref="A14:H14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0"/>
  <sheetViews>
    <sheetView tabSelected="1" zoomScale="70" zoomScaleNormal="70" workbookViewId="0">
      <pane ySplit="2" topLeftCell="A21" activePane="bottomLeft" state="frozen"/>
      <selection pane="bottomLeft" activeCell="G23" sqref="G23"/>
    </sheetView>
  </sheetViews>
  <sheetFormatPr defaultRowHeight="21"/>
  <cols>
    <col min="1" max="1" width="42.140625" style="80" customWidth="1"/>
    <col min="2" max="4" width="15.28515625" customWidth="1"/>
    <col min="5" max="5" width="39.7109375" customWidth="1"/>
    <col min="6" max="6" width="18.42578125" customWidth="1"/>
    <col min="7" max="7" width="71" customWidth="1"/>
    <col min="8" max="8" width="20" customWidth="1"/>
    <col min="9" max="10" width="15.5703125" customWidth="1"/>
  </cols>
  <sheetData>
    <row r="1" spans="1:10" ht="121.5" customHeight="1">
      <c r="A1" s="127" t="s">
        <v>310</v>
      </c>
      <c r="B1" s="127"/>
      <c r="C1" s="127"/>
      <c r="D1" s="127"/>
      <c r="E1" s="127"/>
      <c r="F1" s="127"/>
      <c r="G1" s="127"/>
      <c r="H1" s="127"/>
      <c r="I1" s="127"/>
      <c r="J1" s="127"/>
    </row>
    <row r="2" spans="1:10" ht="65.25" customHeight="1">
      <c r="A2" s="32" t="s">
        <v>304</v>
      </c>
      <c r="B2" s="33" t="s">
        <v>298</v>
      </c>
      <c r="C2" s="33" t="s">
        <v>311</v>
      </c>
      <c r="D2" s="33" t="s">
        <v>297</v>
      </c>
      <c r="E2" s="34" t="s">
        <v>250</v>
      </c>
      <c r="F2" s="35" t="s">
        <v>312</v>
      </c>
      <c r="G2" s="32" t="s">
        <v>21</v>
      </c>
      <c r="H2" s="35" t="s">
        <v>1</v>
      </c>
      <c r="I2" s="35" t="s">
        <v>3</v>
      </c>
      <c r="J2" s="36" t="s">
        <v>0</v>
      </c>
    </row>
    <row r="3" spans="1:10" ht="39" customHeight="1">
      <c r="A3" s="134" t="s">
        <v>317</v>
      </c>
      <c r="B3" s="134"/>
      <c r="C3" s="134"/>
      <c r="D3" s="134"/>
      <c r="E3" s="134"/>
      <c r="F3" s="134"/>
      <c r="G3" s="134"/>
      <c r="H3" s="134"/>
      <c r="I3" s="134"/>
      <c r="J3" s="134"/>
    </row>
    <row r="4" spans="1:10" ht="129.75" customHeight="1">
      <c r="A4" s="74" t="s">
        <v>44</v>
      </c>
      <c r="B4" s="59">
        <v>5582</v>
      </c>
      <c r="C4" s="98">
        <f t="shared" ref="C4:C16" si="0">B4*1.1</f>
        <v>6140.2000000000007</v>
      </c>
      <c r="D4" s="55">
        <f t="shared" ref="D4:D16" si="1">B4*1.6</f>
        <v>8931.2000000000007</v>
      </c>
      <c r="E4" s="2"/>
      <c r="F4" s="2">
        <v>3</v>
      </c>
      <c r="G4" s="83" t="s">
        <v>345</v>
      </c>
      <c r="H4" s="5" t="s">
        <v>2</v>
      </c>
      <c r="I4" s="47">
        <v>0</v>
      </c>
      <c r="J4" s="47">
        <f>B4*I4</f>
        <v>0</v>
      </c>
    </row>
    <row r="5" spans="1:10" ht="129.75" hidden="1" customHeight="1">
      <c r="A5" s="74" t="s">
        <v>6</v>
      </c>
      <c r="B5" s="56">
        <v>3190</v>
      </c>
      <c r="C5" s="98">
        <f t="shared" si="0"/>
        <v>3509.0000000000005</v>
      </c>
      <c r="D5" s="55">
        <f t="shared" si="1"/>
        <v>5104</v>
      </c>
      <c r="E5" s="2"/>
      <c r="F5" s="2">
        <v>5</v>
      </c>
      <c r="G5" s="83" t="s">
        <v>346</v>
      </c>
      <c r="H5" s="92" t="s">
        <v>7</v>
      </c>
      <c r="I5" s="47">
        <v>0</v>
      </c>
      <c r="J5" s="47">
        <f t="shared" ref="J5:J29" si="2">B5*I5</f>
        <v>0</v>
      </c>
    </row>
    <row r="6" spans="1:10" ht="129.75" customHeight="1">
      <c r="A6" s="74" t="s">
        <v>12</v>
      </c>
      <c r="B6" s="62">
        <v>2490</v>
      </c>
      <c r="C6" s="98">
        <f t="shared" si="0"/>
        <v>2739</v>
      </c>
      <c r="D6" s="55">
        <f t="shared" si="1"/>
        <v>3984</v>
      </c>
      <c r="E6" s="2"/>
      <c r="F6" s="2">
        <v>10</v>
      </c>
      <c r="G6" s="83" t="s">
        <v>431</v>
      </c>
      <c r="H6" s="5" t="s">
        <v>2</v>
      </c>
      <c r="I6" s="47">
        <v>0</v>
      </c>
      <c r="J6" s="47">
        <f t="shared" si="2"/>
        <v>0</v>
      </c>
    </row>
    <row r="7" spans="1:10" ht="129.75" hidden="1" customHeight="1">
      <c r="A7" s="74" t="s">
        <v>323</v>
      </c>
      <c r="B7" s="56">
        <v>7188</v>
      </c>
      <c r="C7" s="98">
        <f t="shared" si="0"/>
        <v>7906.8000000000011</v>
      </c>
      <c r="D7" s="55">
        <v>10782</v>
      </c>
      <c r="E7" s="2"/>
      <c r="F7" s="2">
        <v>2</v>
      </c>
      <c r="G7" s="83" t="s">
        <v>347</v>
      </c>
      <c r="H7" s="92" t="s">
        <v>7</v>
      </c>
      <c r="I7" s="47">
        <v>0</v>
      </c>
      <c r="J7" s="47">
        <f t="shared" si="2"/>
        <v>0</v>
      </c>
    </row>
    <row r="8" spans="1:10" ht="129.75" hidden="1" customHeight="1">
      <c r="A8" s="75" t="s">
        <v>104</v>
      </c>
      <c r="B8" s="59">
        <v>5674</v>
      </c>
      <c r="C8" s="98">
        <f t="shared" si="0"/>
        <v>6241.4000000000005</v>
      </c>
      <c r="D8" s="55">
        <f t="shared" si="1"/>
        <v>9078.4</v>
      </c>
      <c r="E8" s="2"/>
      <c r="F8" s="2">
        <v>5</v>
      </c>
      <c r="G8" s="88" t="s">
        <v>348</v>
      </c>
      <c r="H8" s="92" t="s">
        <v>7</v>
      </c>
      <c r="I8" s="47">
        <v>0</v>
      </c>
      <c r="J8" s="47">
        <f t="shared" si="2"/>
        <v>0</v>
      </c>
    </row>
    <row r="9" spans="1:10" ht="129.75" customHeight="1">
      <c r="A9" s="75" t="s">
        <v>103</v>
      </c>
      <c r="B9" s="59">
        <v>4591</v>
      </c>
      <c r="C9" s="98">
        <f t="shared" si="0"/>
        <v>5050.1000000000004</v>
      </c>
      <c r="D9" s="55">
        <f t="shared" si="1"/>
        <v>7345.6</v>
      </c>
      <c r="E9" s="2"/>
      <c r="F9" s="2">
        <v>5</v>
      </c>
      <c r="G9" s="88" t="s">
        <v>349</v>
      </c>
      <c r="H9" s="5" t="s">
        <v>2</v>
      </c>
      <c r="I9" s="47">
        <v>0</v>
      </c>
      <c r="J9" s="47">
        <f t="shared" si="2"/>
        <v>0</v>
      </c>
    </row>
    <row r="10" spans="1:10" ht="129.75" customHeight="1">
      <c r="A10" s="75" t="s">
        <v>102</v>
      </c>
      <c r="B10" s="61">
        <v>4353</v>
      </c>
      <c r="C10" s="98">
        <f t="shared" si="0"/>
        <v>4788.3</v>
      </c>
      <c r="D10" s="55">
        <f t="shared" si="1"/>
        <v>6964.8</v>
      </c>
      <c r="E10" s="2"/>
      <c r="F10" s="2">
        <v>5</v>
      </c>
      <c r="G10" s="88" t="s">
        <v>350</v>
      </c>
      <c r="H10" s="5" t="s">
        <v>2</v>
      </c>
      <c r="I10" s="47">
        <v>0</v>
      </c>
      <c r="J10" s="47">
        <f t="shared" si="2"/>
        <v>0</v>
      </c>
    </row>
    <row r="11" spans="1:10" ht="129.75" customHeight="1">
      <c r="A11" s="74" t="s">
        <v>14</v>
      </c>
      <c r="B11" s="56">
        <v>3900</v>
      </c>
      <c r="C11" s="98">
        <f t="shared" si="0"/>
        <v>4290</v>
      </c>
      <c r="D11" s="55">
        <f t="shared" si="1"/>
        <v>6240</v>
      </c>
      <c r="E11" s="2"/>
      <c r="F11" s="2">
        <v>3</v>
      </c>
      <c r="G11" s="83" t="s">
        <v>351</v>
      </c>
      <c r="H11" s="5" t="s">
        <v>2</v>
      </c>
      <c r="I11" s="47">
        <v>0</v>
      </c>
      <c r="J11" s="47">
        <f t="shared" si="2"/>
        <v>0</v>
      </c>
    </row>
    <row r="12" spans="1:10" ht="180.75" customHeight="1">
      <c r="A12" s="75" t="s">
        <v>316</v>
      </c>
      <c r="B12" s="61">
        <v>3555</v>
      </c>
      <c r="C12" s="98">
        <f t="shared" si="0"/>
        <v>3910.5000000000005</v>
      </c>
      <c r="D12" s="55">
        <f t="shared" si="1"/>
        <v>5688</v>
      </c>
      <c r="E12" s="2"/>
      <c r="F12" s="2">
        <v>5</v>
      </c>
      <c r="G12" s="88" t="s">
        <v>352</v>
      </c>
      <c r="H12" s="5" t="s">
        <v>2</v>
      </c>
      <c r="I12" s="47">
        <v>0</v>
      </c>
      <c r="J12" s="47">
        <f t="shared" si="2"/>
        <v>0</v>
      </c>
    </row>
    <row r="13" spans="1:10" ht="180" customHeight="1">
      <c r="A13" s="75" t="s">
        <v>433</v>
      </c>
      <c r="B13" s="61">
        <v>5740</v>
      </c>
      <c r="C13" s="125">
        <f>B13*1.1</f>
        <v>6314.0000000000009</v>
      </c>
      <c r="D13" s="55">
        <f t="shared" si="1"/>
        <v>9184</v>
      </c>
      <c r="E13" s="2"/>
      <c r="F13" s="2">
        <v>5</v>
      </c>
      <c r="G13" s="88" t="s">
        <v>432</v>
      </c>
      <c r="H13" s="5" t="s">
        <v>2</v>
      </c>
      <c r="I13" s="47">
        <v>0</v>
      </c>
      <c r="J13" s="47">
        <v>0</v>
      </c>
    </row>
    <row r="14" spans="1:10" ht="200.25" customHeight="1">
      <c r="A14" s="75" t="s">
        <v>391</v>
      </c>
      <c r="B14" s="61">
        <v>6700</v>
      </c>
      <c r="C14" s="53">
        <f t="shared" si="0"/>
        <v>7370.0000000000009</v>
      </c>
      <c r="D14" s="55">
        <f t="shared" si="1"/>
        <v>10720</v>
      </c>
      <c r="E14" s="2"/>
      <c r="F14" s="2">
        <v>4</v>
      </c>
      <c r="G14" s="88" t="s">
        <v>393</v>
      </c>
      <c r="H14" s="5" t="s">
        <v>2</v>
      </c>
      <c r="I14" s="47">
        <v>0</v>
      </c>
      <c r="J14" s="47">
        <f t="shared" si="2"/>
        <v>0</v>
      </c>
    </row>
    <row r="15" spans="1:10" ht="179.25" customHeight="1">
      <c r="A15" s="74" t="s">
        <v>37</v>
      </c>
      <c r="B15" s="61">
        <v>7770</v>
      </c>
      <c r="C15" s="53">
        <f t="shared" si="0"/>
        <v>8547</v>
      </c>
      <c r="D15" s="55">
        <f t="shared" si="1"/>
        <v>12432</v>
      </c>
      <c r="E15" s="2"/>
      <c r="F15" s="2">
        <v>4</v>
      </c>
      <c r="G15" s="83" t="s">
        <v>353</v>
      </c>
      <c r="H15" s="5" t="s">
        <v>2</v>
      </c>
      <c r="I15" s="53">
        <v>0</v>
      </c>
      <c r="J15" s="47">
        <f t="shared" si="2"/>
        <v>0</v>
      </c>
    </row>
    <row r="16" spans="1:10" ht="202.5" customHeight="1">
      <c r="A16" s="74" t="s">
        <v>40</v>
      </c>
      <c r="B16" s="61">
        <v>11800</v>
      </c>
      <c r="C16" s="53">
        <f t="shared" si="0"/>
        <v>12980.000000000002</v>
      </c>
      <c r="D16" s="55">
        <f t="shared" si="1"/>
        <v>18880</v>
      </c>
      <c r="E16" s="2"/>
      <c r="F16" s="2">
        <v>4</v>
      </c>
      <c r="G16" s="83" t="s">
        <v>308</v>
      </c>
      <c r="H16" s="5" t="s">
        <v>2</v>
      </c>
      <c r="I16" s="53">
        <v>0</v>
      </c>
      <c r="J16" s="47">
        <f t="shared" si="2"/>
        <v>0</v>
      </c>
    </row>
    <row r="17" spans="1:10" ht="217.5" customHeight="1">
      <c r="A17" s="135" t="s">
        <v>318</v>
      </c>
      <c r="B17" s="136"/>
      <c r="C17" s="136"/>
      <c r="D17" s="136"/>
      <c r="E17" s="136"/>
      <c r="F17" s="136"/>
      <c r="G17" s="136"/>
      <c r="H17" s="136"/>
      <c r="I17" s="137"/>
      <c r="J17" s="115"/>
    </row>
    <row r="18" spans="1:10" ht="217.5" customHeight="1">
      <c r="A18" s="74" t="s">
        <v>43</v>
      </c>
      <c r="B18" s="59">
        <v>12900</v>
      </c>
      <c r="C18" s="53">
        <v>13545</v>
      </c>
      <c r="D18" s="55">
        <f t="shared" ref="D18:D29" si="3">B18*1.6</f>
        <v>20640</v>
      </c>
      <c r="E18" s="2"/>
      <c r="F18" s="2">
        <v>2</v>
      </c>
      <c r="G18" s="83" t="s">
        <v>354</v>
      </c>
      <c r="H18" s="5" t="s">
        <v>2</v>
      </c>
      <c r="I18" s="47">
        <v>0</v>
      </c>
      <c r="J18" s="47">
        <f t="shared" si="2"/>
        <v>0</v>
      </c>
    </row>
    <row r="19" spans="1:10" ht="217.5" hidden="1" customHeight="1">
      <c r="A19" s="74" t="s">
        <v>45</v>
      </c>
      <c r="B19" s="59">
        <v>9975</v>
      </c>
      <c r="C19" s="53">
        <v>10473.75</v>
      </c>
      <c r="D19" s="55">
        <f t="shared" si="3"/>
        <v>15960</v>
      </c>
      <c r="E19" s="2"/>
      <c r="F19" s="2">
        <v>2</v>
      </c>
      <c r="G19" s="83" t="s">
        <v>355</v>
      </c>
      <c r="H19" s="92" t="s">
        <v>7</v>
      </c>
      <c r="I19" s="47">
        <v>0</v>
      </c>
      <c r="J19" s="47">
        <f t="shared" si="2"/>
        <v>0</v>
      </c>
    </row>
    <row r="20" spans="1:10" ht="217.5" customHeight="1">
      <c r="A20" s="76" t="s">
        <v>284</v>
      </c>
      <c r="B20" s="59">
        <v>1849</v>
      </c>
      <c r="C20" s="53">
        <v>1941.45</v>
      </c>
      <c r="D20" s="55">
        <f t="shared" si="3"/>
        <v>2958.4</v>
      </c>
      <c r="E20" s="41"/>
      <c r="F20" s="68">
        <v>5</v>
      </c>
      <c r="G20" s="89" t="s">
        <v>356</v>
      </c>
      <c r="H20" s="42" t="s">
        <v>2</v>
      </c>
      <c r="I20" s="47">
        <v>0</v>
      </c>
      <c r="J20" s="47">
        <f t="shared" si="2"/>
        <v>0</v>
      </c>
    </row>
    <row r="21" spans="1:10" ht="217.5" customHeight="1">
      <c r="A21" s="74" t="s">
        <v>13</v>
      </c>
      <c r="B21" s="59">
        <v>4290</v>
      </c>
      <c r="C21" s="53">
        <v>4504.5</v>
      </c>
      <c r="D21" s="55">
        <f t="shared" si="3"/>
        <v>6864</v>
      </c>
      <c r="E21" s="2"/>
      <c r="F21" s="2">
        <v>3</v>
      </c>
      <c r="G21" s="83" t="s">
        <v>357</v>
      </c>
      <c r="H21" s="5" t="s">
        <v>2</v>
      </c>
      <c r="I21" s="47">
        <v>0</v>
      </c>
      <c r="J21" s="47">
        <f t="shared" si="2"/>
        <v>0</v>
      </c>
    </row>
    <row r="22" spans="1:10" ht="217.5" hidden="1" customHeight="1">
      <c r="A22" s="77" t="s">
        <v>321</v>
      </c>
      <c r="B22" s="61">
        <v>3050</v>
      </c>
      <c r="C22" s="53">
        <v>3202.5</v>
      </c>
      <c r="D22" s="55">
        <f t="shared" si="3"/>
        <v>4880</v>
      </c>
      <c r="E22" s="2"/>
      <c r="F22" s="12">
        <v>5</v>
      </c>
      <c r="G22" s="90" t="s">
        <v>358</v>
      </c>
      <c r="H22" s="92" t="s">
        <v>7</v>
      </c>
      <c r="I22" s="47">
        <v>0</v>
      </c>
      <c r="J22" s="47">
        <f t="shared" si="2"/>
        <v>0</v>
      </c>
    </row>
    <row r="23" spans="1:10" ht="217.5" customHeight="1">
      <c r="A23" s="74" t="s">
        <v>5</v>
      </c>
      <c r="B23" s="59">
        <v>3190</v>
      </c>
      <c r="C23" s="53">
        <v>3349.5</v>
      </c>
      <c r="D23" s="55">
        <f t="shared" si="3"/>
        <v>5104</v>
      </c>
      <c r="E23" s="2"/>
      <c r="F23" s="2">
        <v>5</v>
      </c>
      <c r="G23" s="83" t="s">
        <v>359</v>
      </c>
      <c r="H23" s="5" t="s">
        <v>2</v>
      </c>
      <c r="I23" s="47">
        <v>0</v>
      </c>
      <c r="J23" s="47">
        <f t="shared" si="2"/>
        <v>0</v>
      </c>
    </row>
    <row r="24" spans="1:10" ht="217.5" customHeight="1">
      <c r="A24" s="77" t="s">
        <v>322</v>
      </c>
      <c r="B24" s="60">
        <v>2160</v>
      </c>
      <c r="C24" s="53">
        <v>2268</v>
      </c>
      <c r="D24" s="55">
        <f t="shared" si="3"/>
        <v>3456</v>
      </c>
      <c r="E24" s="2"/>
      <c r="F24" s="12">
        <v>5</v>
      </c>
      <c r="G24" s="90" t="s">
        <v>360</v>
      </c>
      <c r="H24" s="5" t="s">
        <v>2</v>
      </c>
      <c r="I24" s="47">
        <v>0</v>
      </c>
      <c r="J24" s="47">
        <f t="shared" si="2"/>
        <v>0</v>
      </c>
    </row>
    <row r="25" spans="1:10" ht="217.5" customHeight="1">
      <c r="A25" s="75" t="s">
        <v>278</v>
      </c>
      <c r="B25" s="61">
        <v>6190</v>
      </c>
      <c r="C25" s="53">
        <v>6499.5</v>
      </c>
      <c r="D25" s="55">
        <f t="shared" si="3"/>
        <v>9904</v>
      </c>
      <c r="E25" s="2"/>
      <c r="F25" s="9">
        <v>5</v>
      </c>
      <c r="G25" s="83" t="s">
        <v>361</v>
      </c>
      <c r="H25" s="5" t="s">
        <v>2</v>
      </c>
      <c r="I25" s="47">
        <v>0</v>
      </c>
      <c r="J25" s="47">
        <f t="shared" si="2"/>
        <v>0</v>
      </c>
    </row>
    <row r="26" spans="1:10" ht="217.5" hidden="1" customHeight="1">
      <c r="A26" s="78" t="s">
        <v>286</v>
      </c>
      <c r="B26" s="59">
        <v>7996</v>
      </c>
      <c r="C26" s="53">
        <v>8395.8000000000011</v>
      </c>
      <c r="D26" s="55">
        <f t="shared" si="3"/>
        <v>12793.6</v>
      </c>
      <c r="E26" s="2"/>
      <c r="F26" s="2">
        <v>3</v>
      </c>
      <c r="G26" s="83" t="s">
        <v>362</v>
      </c>
      <c r="H26" s="92" t="s">
        <v>7</v>
      </c>
      <c r="I26" s="47">
        <v>0</v>
      </c>
      <c r="J26" s="47">
        <f t="shared" si="2"/>
        <v>0</v>
      </c>
    </row>
    <row r="27" spans="1:10" ht="217.5" customHeight="1">
      <c r="A27" s="78" t="s">
        <v>285</v>
      </c>
      <c r="B27" s="59">
        <v>7370</v>
      </c>
      <c r="C27" s="53">
        <v>7738.5</v>
      </c>
      <c r="D27" s="55">
        <f t="shared" si="3"/>
        <v>11792</v>
      </c>
      <c r="E27" s="2"/>
      <c r="F27" s="2">
        <v>5</v>
      </c>
      <c r="G27" s="83" t="s">
        <v>409</v>
      </c>
      <c r="H27" s="5" t="s">
        <v>2</v>
      </c>
      <c r="I27" s="47">
        <v>0</v>
      </c>
      <c r="J27" s="47">
        <f t="shared" si="2"/>
        <v>0</v>
      </c>
    </row>
    <row r="28" spans="1:10" ht="176.25" customHeight="1">
      <c r="A28" s="79" t="s">
        <v>392</v>
      </c>
      <c r="B28" s="56">
        <v>5890</v>
      </c>
      <c r="C28" s="53">
        <f>B28*1.1</f>
        <v>6479.0000000000009</v>
      </c>
      <c r="D28" s="55">
        <f t="shared" si="3"/>
        <v>9424</v>
      </c>
      <c r="E28" s="2"/>
      <c r="F28" s="2">
        <v>8</v>
      </c>
      <c r="G28" s="83" t="s">
        <v>363</v>
      </c>
      <c r="H28" s="5" t="s">
        <v>2</v>
      </c>
      <c r="I28" s="47">
        <v>0</v>
      </c>
      <c r="J28" s="47">
        <f t="shared" si="2"/>
        <v>0</v>
      </c>
    </row>
    <row r="29" spans="1:10" ht="189">
      <c r="A29" s="74" t="s">
        <v>8</v>
      </c>
      <c r="B29" s="59">
        <v>2890</v>
      </c>
      <c r="C29" s="53">
        <f>B29*1.1</f>
        <v>3179.0000000000005</v>
      </c>
      <c r="D29" s="55">
        <f t="shared" si="3"/>
        <v>4624</v>
      </c>
      <c r="E29" s="2"/>
      <c r="F29" s="2">
        <v>5</v>
      </c>
      <c r="G29" s="83" t="s">
        <v>364</v>
      </c>
      <c r="H29" s="5" t="s">
        <v>2</v>
      </c>
      <c r="I29" s="47">
        <v>0</v>
      </c>
      <c r="J29" s="47">
        <f t="shared" si="2"/>
        <v>0</v>
      </c>
    </row>
    <row r="30" spans="1:10" ht="23.25">
      <c r="A30" s="128" t="s">
        <v>307</v>
      </c>
      <c r="B30" s="129"/>
      <c r="C30" s="129"/>
      <c r="D30" s="129"/>
      <c r="E30" s="129"/>
      <c r="F30" s="129"/>
      <c r="G30" s="129"/>
      <c r="H30" s="130"/>
      <c r="I30" s="43"/>
      <c r="J30" s="48">
        <f>SUM(J4:J29)</f>
        <v>0</v>
      </c>
    </row>
  </sheetData>
  <mergeCells count="4">
    <mergeCell ref="A1:J1"/>
    <mergeCell ref="A30:H30"/>
    <mergeCell ref="A3:J3"/>
    <mergeCell ref="A17:I17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2"/>
  <sheetViews>
    <sheetView zoomScale="55" zoomScaleNormal="55" workbookViewId="0">
      <pane ySplit="2" topLeftCell="A3" activePane="bottomLeft" state="frozen"/>
      <selection pane="bottomLeft" activeCell="A22" sqref="A22:G22"/>
    </sheetView>
  </sheetViews>
  <sheetFormatPr defaultRowHeight="12.75"/>
  <cols>
    <col min="1" max="1" width="49.28515625" customWidth="1"/>
    <col min="2" max="2" width="14.85546875" style="109" customWidth="1"/>
    <col min="3" max="3" width="13.28515625" style="109" customWidth="1"/>
    <col min="4" max="4" width="20.5703125" customWidth="1"/>
    <col min="5" max="5" width="18" customWidth="1"/>
    <col min="6" max="6" width="61.28515625" customWidth="1"/>
    <col min="7" max="7" width="14.7109375" customWidth="1"/>
    <col min="8" max="8" width="12.42578125" customWidth="1"/>
    <col min="9" max="9" width="19.5703125" customWidth="1"/>
  </cols>
  <sheetData>
    <row r="1" spans="1:13" ht="105.75" customHeight="1">
      <c r="A1" s="127" t="s">
        <v>310</v>
      </c>
      <c r="B1" s="127"/>
      <c r="C1" s="127"/>
      <c r="D1" s="127"/>
      <c r="E1" s="127"/>
      <c r="F1" s="127"/>
      <c r="G1" s="127"/>
      <c r="H1" s="127"/>
      <c r="I1" s="127"/>
    </row>
    <row r="2" spans="1:13" ht="56.25" customHeight="1">
      <c r="A2" s="32" t="s">
        <v>304</v>
      </c>
      <c r="B2" s="102" t="s">
        <v>298</v>
      </c>
      <c r="C2" s="102" t="s">
        <v>297</v>
      </c>
      <c r="D2" s="34" t="s">
        <v>250</v>
      </c>
      <c r="E2" s="35" t="s">
        <v>312</v>
      </c>
      <c r="F2" s="32" t="s">
        <v>21</v>
      </c>
      <c r="G2" s="35" t="s">
        <v>1</v>
      </c>
      <c r="H2" s="35" t="s">
        <v>3</v>
      </c>
      <c r="I2" s="36" t="s">
        <v>0</v>
      </c>
    </row>
    <row r="3" spans="1:13" s="1" customFormat="1" ht="36" customHeight="1">
      <c r="A3" s="126" t="s">
        <v>289</v>
      </c>
      <c r="B3" s="126"/>
      <c r="C3" s="126"/>
      <c r="D3" s="126"/>
      <c r="E3" s="126"/>
      <c r="F3" s="126"/>
      <c r="G3" s="126"/>
      <c r="H3" s="126"/>
      <c r="I3" s="126"/>
      <c r="J3" s="93"/>
      <c r="K3" s="29"/>
      <c r="L3" s="18"/>
      <c r="M3" s="18"/>
    </row>
    <row r="4" spans="1:13" s="1" customFormat="1" ht="63" customHeight="1">
      <c r="A4" s="3" t="s">
        <v>288</v>
      </c>
      <c r="B4" s="103">
        <v>3538.1823750000003</v>
      </c>
      <c r="C4" s="104">
        <f t="shared" ref="C4:C18" si="0">B4*1.6</f>
        <v>5661.0918000000011</v>
      </c>
      <c r="D4" s="2"/>
      <c r="E4" s="2"/>
      <c r="F4" s="23" t="s">
        <v>120</v>
      </c>
      <c r="G4" s="10" t="s">
        <v>2</v>
      </c>
      <c r="H4" s="53">
        <v>0</v>
      </c>
      <c r="I4" s="53">
        <f t="shared" ref="I4:I21" si="1">B4*H4</f>
        <v>0</v>
      </c>
      <c r="J4" s="93"/>
      <c r="K4" s="29"/>
      <c r="L4" s="18"/>
      <c r="M4" s="18"/>
    </row>
    <row r="5" spans="1:13" s="1" customFormat="1" ht="63" customHeight="1">
      <c r="A5" s="3" t="s">
        <v>271</v>
      </c>
      <c r="B5" s="103">
        <v>3542.77</v>
      </c>
      <c r="C5" s="104">
        <f t="shared" si="0"/>
        <v>5668.4320000000007</v>
      </c>
      <c r="D5" s="2"/>
      <c r="E5" s="2"/>
      <c r="F5" s="23" t="s">
        <v>251</v>
      </c>
      <c r="G5" s="92" t="s">
        <v>7</v>
      </c>
      <c r="H5" s="53">
        <v>0</v>
      </c>
      <c r="I5" s="53">
        <f t="shared" si="1"/>
        <v>0</v>
      </c>
      <c r="J5" s="93"/>
      <c r="K5" s="29"/>
      <c r="L5" s="18"/>
      <c r="M5" s="18"/>
    </row>
    <row r="6" spans="1:13" s="1" customFormat="1" ht="63" customHeight="1">
      <c r="A6" s="3" t="s">
        <v>282</v>
      </c>
      <c r="B6" s="105">
        <v>7393.7000000000007</v>
      </c>
      <c r="C6" s="104">
        <f t="shared" si="0"/>
        <v>11829.920000000002</v>
      </c>
      <c r="D6" s="2"/>
      <c r="E6" s="2"/>
      <c r="F6" s="23" t="s">
        <v>283</v>
      </c>
      <c r="G6" s="10" t="s">
        <v>2</v>
      </c>
      <c r="H6" s="53">
        <v>0</v>
      </c>
      <c r="I6" s="53">
        <f t="shared" si="1"/>
        <v>0</v>
      </c>
      <c r="J6" s="93"/>
      <c r="K6" s="29"/>
      <c r="L6" s="18"/>
      <c r="M6" s="18"/>
    </row>
    <row r="7" spans="1:13" s="1" customFormat="1" ht="63" customHeight="1">
      <c r="A7" s="3" t="s">
        <v>272</v>
      </c>
      <c r="B7" s="105">
        <v>3735.3700000000003</v>
      </c>
      <c r="C7" s="104">
        <f t="shared" si="0"/>
        <v>5976.5920000000006</v>
      </c>
      <c r="D7" s="2"/>
      <c r="E7" s="2"/>
      <c r="F7" s="23" t="s">
        <v>76</v>
      </c>
      <c r="G7" s="10" t="s">
        <v>2</v>
      </c>
      <c r="H7" s="53">
        <v>0</v>
      </c>
      <c r="I7" s="53">
        <f t="shared" si="1"/>
        <v>0</v>
      </c>
      <c r="J7" s="93"/>
      <c r="K7" s="29"/>
      <c r="L7" s="18"/>
      <c r="M7" s="18"/>
    </row>
    <row r="8" spans="1:13" s="1" customFormat="1" ht="63" customHeight="1">
      <c r="A8" s="3" t="s">
        <v>273</v>
      </c>
      <c r="B8" s="105">
        <v>6291.8991720000013</v>
      </c>
      <c r="C8" s="104">
        <f t="shared" si="0"/>
        <v>10067.038675200003</v>
      </c>
      <c r="D8" s="15"/>
      <c r="E8" s="15"/>
      <c r="F8" s="23" t="s">
        <v>259</v>
      </c>
      <c r="G8" s="10" t="s">
        <v>2</v>
      </c>
      <c r="H8" s="53">
        <v>0</v>
      </c>
      <c r="I8" s="53">
        <f t="shared" si="1"/>
        <v>0</v>
      </c>
      <c r="J8" s="93"/>
      <c r="K8" s="29"/>
      <c r="L8" s="18"/>
      <c r="M8" s="18"/>
    </row>
    <row r="9" spans="1:13" s="1" customFormat="1" ht="63" customHeight="1">
      <c r="A9" s="14" t="s">
        <v>274</v>
      </c>
      <c r="B9" s="105">
        <v>6673.59</v>
      </c>
      <c r="C9" s="104">
        <f t="shared" si="0"/>
        <v>10677.744000000001</v>
      </c>
      <c r="D9" s="2"/>
      <c r="E9" s="2"/>
      <c r="F9" s="23" t="s">
        <v>277</v>
      </c>
      <c r="G9" s="10" t="s">
        <v>2</v>
      </c>
      <c r="H9" s="53">
        <v>0</v>
      </c>
      <c r="I9" s="53">
        <f t="shared" si="1"/>
        <v>0</v>
      </c>
      <c r="J9" s="93"/>
      <c r="K9" s="29"/>
      <c r="L9" s="18"/>
      <c r="M9" s="18"/>
    </row>
    <row r="10" spans="1:13" s="1" customFormat="1" ht="63" customHeight="1">
      <c r="A10" s="3" t="s">
        <v>275</v>
      </c>
      <c r="B10" s="105">
        <v>7000</v>
      </c>
      <c r="C10" s="104">
        <f t="shared" si="0"/>
        <v>11200</v>
      </c>
      <c r="D10" s="2"/>
      <c r="E10" s="2"/>
      <c r="F10" s="23" t="s">
        <v>367</v>
      </c>
      <c r="G10" s="10" t="s">
        <v>2</v>
      </c>
      <c r="H10" s="53">
        <v>0</v>
      </c>
      <c r="I10" s="53">
        <f t="shared" si="1"/>
        <v>0</v>
      </c>
      <c r="J10" s="93"/>
      <c r="K10" s="29"/>
      <c r="L10" s="18"/>
      <c r="M10" s="18"/>
    </row>
    <row r="11" spans="1:13" s="1" customFormat="1" ht="63" customHeight="1">
      <c r="A11" s="3" t="s">
        <v>369</v>
      </c>
      <c r="B11" s="105">
        <v>8750</v>
      </c>
      <c r="C11" s="104">
        <f t="shared" si="0"/>
        <v>14000</v>
      </c>
      <c r="D11" s="2"/>
      <c r="E11" s="2"/>
      <c r="F11" s="23" t="s">
        <v>368</v>
      </c>
      <c r="G11" s="10" t="s">
        <v>2</v>
      </c>
      <c r="H11" s="53">
        <v>0</v>
      </c>
      <c r="I11" s="53">
        <f t="shared" si="1"/>
        <v>0</v>
      </c>
      <c r="J11" s="93"/>
      <c r="K11" s="29"/>
      <c r="L11" s="18"/>
      <c r="M11" s="18"/>
    </row>
    <row r="12" spans="1:13" s="1" customFormat="1" ht="63" customHeight="1">
      <c r="A12" s="3" t="s">
        <v>279</v>
      </c>
      <c r="B12" s="105">
        <v>7797.09</v>
      </c>
      <c r="C12" s="104">
        <f t="shared" si="0"/>
        <v>12475.344000000001</v>
      </c>
      <c r="D12" s="2"/>
      <c r="E12" s="2"/>
      <c r="F12" s="23" t="s">
        <v>280</v>
      </c>
      <c r="G12" s="92" t="s">
        <v>7</v>
      </c>
      <c r="H12" s="53">
        <v>0</v>
      </c>
      <c r="I12" s="53">
        <f t="shared" si="1"/>
        <v>0</v>
      </c>
      <c r="J12" s="93"/>
      <c r="K12" s="29"/>
      <c r="L12" s="18"/>
      <c r="M12" s="18"/>
    </row>
    <row r="13" spans="1:13" s="1" customFormat="1" ht="63" customHeight="1">
      <c r="A13" s="3" t="s">
        <v>98</v>
      </c>
      <c r="B13" s="106">
        <v>3359.8</v>
      </c>
      <c r="C13" s="104">
        <f t="shared" si="0"/>
        <v>5375.68</v>
      </c>
      <c r="D13" s="2"/>
      <c r="E13" s="2"/>
      <c r="F13" s="23" t="s">
        <v>65</v>
      </c>
      <c r="G13" s="5" t="s">
        <v>2</v>
      </c>
      <c r="H13" s="53">
        <v>0</v>
      </c>
      <c r="I13" s="53">
        <f t="shared" si="1"/>
        <v>0</v>
      </c>
      <c r="J13" s="93"/>
      <c r="K13" s="29"/>
      <c r="L13" s="18"/>
      <c r="M13" s="18"/>
    </row>
    <row r="14" spans="1:13" s="1" customFormat="1" ht="63" customHeight="1">
      <c r="A14" s="3" t="s">
        <v>99</v>
      </c>
      <c r="B14" s="107">
        <v>5017.2300000000005</v>
      </c>
      <c r="C14" s="104">
        <f t="shared" si="0"/>
        <v>8027.5680000000011</v>
      </c>
      <c r="D14" s="2"/>
      <c r="E14" s="2"/>
      <c r="F14" s="23" t="s">
        <v>295</v>
      </c>
      <c r="G14" s="5" t="s">
        <v>2</v>
      </c>
      <c r="H14" s="53">
        <v>0</v>
      </c>
      <c r="I14" s="53">
        <f t="shared" si="1"/>
        <v>0</v>
      </c>
      <c r="J14" s="93"/>
      <c r="K14" s="29"/>
      <c r="L14" s="18"/>
      <c r="M14" s="18"/>
    </row>
    <row r="15" spans="1:13" s="1" customFormat="1" ht="63" customHeight="1">
      <c r="A15" s="3" t="s">
        <v>100</v>
      </c>
      <c r="B15" s="106">
        <v>3599.48</v>
      </c>
      <c r="C15" s="104">
        <f t="shared" si="0"/>
        <v>5759.1680000000006</v>
      </c>
      <c r="D15" s="2"/>
      <c r="E15" s="2"/>
      <c r="F15" s="23" t="s">
        <v>71</v>
      </c>
      <c r="G15" s="5" t="s">
        <v>2</v>
      </c>
      <c r="H15" s="53">
        <v>0</v>
      </c>
      <c r="I15" s="53">
        <f t="shared" si="1"/>
        <v>0</v>
      </c>
      <c r="J15" s="93"/>
      <c r="K15" s="29"/>
      <c r="L15" s="18"/>
      <c r="M15" s="18"/>
    </row>
    <row r="16" spans="1:13" s="1" customFormat="1" ht="63" customHeight="1">
      <c r="A16" s="3" t="s">
        <v>101</v>
      </c>
      <c r="B16" s="106">
        <v>3811.34</v>
      </c>
      <c r="C16" s="104">
        <f t="shared" si="0"/>
        <v>6098.1440000000002</v>
      </c>
      <c r="D16" s="2"/>
      <c r="E16" s="2"/>
      <c r="F16" s="23" t="s">
        <v>72</v>
      </c>
      <c r="G16" s="5" t="s">
        <v>2</v>
      </c>
      <c r="H16" s="53">
        <v>0</v>
      </c>
      <c r="I16" s="53">
        <f t="shared" si="1"/>
        <v>0</v>
      </c>
      <c r="J16" s="93"/>
      <c r="K16" s="29"/>
      <c r="L16" s="18"/>
      <c r="M16" s="18"/>
    </row>
    <row r="17" spans="1:13" s="1" customFormat="1" ht="63" customHeight="1">
      <c r="A17" s="3" t="s">
        <v>270</v>
      </c>
      <c r="B17" s="106">
        <v>5954.2554825000007</v>
      </c>
      <c r="C17" s="104">
        <f t="shared" si="0"/>
        <v>9526.8087720000021</v>
      </c>
      <c r="D17" s="2"/>
      <c r="E17" s="2"/>
      <c r="F17" s="23" t="s">
        <v>276</v>
      </c>
      <c r="G17" s="5" t="s">
        <v>2</v>
      </c>
      <c r="H17" s="53">
        <v>0</v>
      </c>
      <c r="I17" s="53">
        <f t="shared" si="1"/>
        <v>0</v>
      </c>
      <c r="J17" s="93"/>
      <c r="K17" s="29"/>
      <c r="L17" s="18"/>
      <c r="M17" s="18"/>
    </row>
    <row r="18" spans="1:13" s="1" customFormat="1" ht="63" customHeight="1">
      <c r="A18" s="3" t="s">
        <v>269</v>
      </c>
      <c r="B18" s="105">
        <v>6327.2809957500003</v>
      </c>
      <c r="C18" s="104">
        <f t="shared" si="0"/>
        <v>10123.649593200002</v>
      </c>
      <c r="D18" s="2"/>
      <c r="E18" s="2"/>
      <c r="F18" s="23" t="s">
        <v>324</v>
      </c>
      <c r="G18" s="92" t="s">
        <v>7</v>
      </c>
      <c r="H18" s="53">
        <v>0</v>
      </c>
      <c r="I18" s="53">
        <f t="shared" si="1"/>
        <v>0</v>
      </c>
      <c r="J18" s="93"/>
      <c r="K18" s="29"/>
      <c r="L18" s="18"/>
      <c r="M18" s="18"/>
    </row>
    <row r="19" spans="1:13" s="1" customFormat="1" ht="36" customHeight="1">
      <c r="A19" s="126" t="s">
        <v>434</v>
      </c>
      <c r="B19" s="126"/>
      <c r="C19" s="126"/>
      <c r="D19" s="126"/>
      <c r="E19" s="126"/>
      <c r="F19" s="126"/>
      <c r="G19" s="126"/>
      <c r="H19" s="94"/>
      <c r="I19" s="94"/>
      <c r="J19" s="93"/>
      <c r="K19" s="29"/>
      <c r="L19" s="18"/>
      <c r="M19" s="18"/>
    </row>
    <row r="20" spans="1:13" s="1" customFormat="1" ht="65.25" customHeight="1">
      <c r="A20" s="3" t="s">
        <v>61</v>
      </c>
      <c r="B20" s="108">
        <v>756.7647750000001</v>
      </c>
      <c r="C20" s="104">
        <f>B20*1.6</f>
        <v>1210.8236400000003</v>
      </c>
      <c r="D20" s="14"/>
      <c r="E20" s="2">
        <v>20</v>
      </c>
      <c r="F20" s="23" t="s">
        <v>62</v>
      </c>
      <c r="G20" s="5" t="s">
        <v>2</v>
      </c>
      <c r="H20" s="51">
        <v>0</v>
      </c>
      <c r="I20" s="53">
        <f t="shared" si="1"/>
        <v>0</v>
      </c>
      <c r="J20" s="93"/>
      <c r="K20" s="29"/>
      <c r="L20" s="18"/>
      <c r="M20" s="18"/>
    </row>
    <row r="21" spans="1:13" s="1" customFormat="1" ht="97.5" customHeight="1">
      <c r="A21" s="3" t="s">
        <v>256</v>
      </c>
      <c r="B21" s="108">
        <v>544</v>
      </c>
      <c r="C21" s="104">
        <f>B21*1.6</f>
        <v>870.40000000000009</v>
      </c>
      <c r="D21" s="14"/>
      <c r="E21" s="2">
        <v>20</v>
      </c>
      <c r="F21" s="23" t="s">
        <v>257</v>
      </c>
      <c r="G21" s="5" t="s">
        <v>2</v>
      </c>
      <c r="H21" s="51">
        <v>0</v>
      </c>
      <c r="I21" s="53">
        <f t="shared" si="1"/>
        <v>0</v>
      </c>
      <c r="J21" s="93"/>
      <c r="K21" s="29"/>
      <c r="L21" s="18"/>
      <c r="M21" s="18"/>
    </row>
    <row r="22" spans="1:13" ht="23.25">
      <c r="A22" s="138" t="s">
        <v>307</v>
      </c>
      <c r="B22" s="138"/>
      <c r="C22" s="138"/>
      <c r="D22" s="138"/>
      <c r="E22" s="138"/>
      <c r="F22" s="138"/>
      <c r="G22" s="138"/>
      <c r="H22" s="48"/>
      <c r="I22" s="48">
        <f>SUM(I4:I21)</f>
        <v>0</v>
      </c>
    </row>
  </sheetData>
  <mergeCells count="4">
    <mergeCell ref="A1:I1"/>
    <mergeCell ref="A3:I3"/>
    <mergeCell ref="A19:G19"/>
    <mergeCell ref="A22:G2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52"/>
  <sheetViews>
    <sheetView zoomScale="55" zoomScaleNormal="55" workbookViewId="0">
      <pane ySplit="2" topLeftCell="A144" activePane="bottomLeft" state="frozen"/>
      <selection pane="bottomLeft" activeCell="D7" sqref="D7"/>
    </sheetView>
  </sheetViews>
  <sheetFormatPr defaultRowHeight="12.75"/>
  <cols>
    <col min="1" max="1" width="55.28515625" customWidth="1"/>
    <col min="2" max="4" width="15.5703125" style="109" customWidth="1"/>
    <col min="5" max="5" width="36.85546875" customWidth="1"/>
    <col min="6" max="6" width="17.7109375" customWidth="1"/>
    <col min="7" max="7" width="60.7109375" customWidth="1"/>
    <col min="8" max="10" width="20.42578125" customWidth="1"/>
  </cols>
  <sheetData>
    <row r="1" spans="1:15" ht="121.5" customHeight="1">
      <c r="A1" s="127" t="s">
        <v>310</v>
      </c>
      <c r="B1" s="127"/>
      <c r="C1" s="127"/>
      <c r="D1" s="127"/>
      <c r="E1" s="127"/>
      <c r="F1" s="127"/>
      <c r="G1" s="127"/>
      <c r="H1" s="127"/>
      <c r="I1" s="127"/>
      <c r="J1" s="127"/>
    </row>
    <row r="2" spans="1:15" ht="58.5" customHeight="1">
      <c r="A2" s="32" t="s">
        <v>304</v>
      </c>
      <c r="B2" s="102" t="s">
        <v>298</v>
      </c>
      <c r="C2" s="102" t="s">
        <v>311</v>
      </c>
      <c r="D2" s="102" t="s">
        <v>297</v>
      </c>
      <c r="E2" s="34" t="s">
        <v>250</v>
      </c>
      <c r="F2" s="35" t="s">
        <v>312</v>
      </c>
      <c r="G2" s="32" t="s">
        <v>21</v>
      </c>
      <c r="H2" s="35" t="s">
        <v>1</v>
      </c>
      <c r="I2" s="35" t="s">
        <v>3</v>
      </c>
      <c r="J2" s="36" t="s">
        <v>0</v>
      </c>
    </row>
    <row r="3" spans="1:15" s="1" customFormat="1" ht="48" customHeight="1">
      <c r="A3" s="139" t="s">
        <v>70</v>
      </c>
      <c r="B3" s="140"/>
      <c r="C3" s="140"/>
      <c r="D3" s="140"/>
      <c r="E3" s="140"/>
      <c r="F3" s="140"/>
      <c r="G3" s="140"/>
      <c r="H3" s="140"/>
      <c r="I3" s="140"/>
      <c r="J3" s="141"/>
      <c r="K3" s="30"/>
      <c r="L3" s="29"/>
      <c r="M3" s="18"/>
      <c r="O3" s="18"/>
    </row>
    <row r="4" spans="1:15" s="1" customFormat="1" ht="96.6" customHeight="1">
      <c r="A4" s="14" t="s">
        <v>96</v>
      </c>
      <c r="B4" s="108">
        <v>2824.87725</v>
      </c>
      <c r="C4" s="110">
        <v>3107.364975</v>
      </c>
      <c r="D4" s="111">
        <f>B4*1.5</f>
        <v>4237.3158750000002</v>
      </c>
      <c r="E4" s="2"/>
      <c r="F4" s="2"/>
      <c r="G4" s="23" t="s">
        <v>94</v>
      </c>
      <c r="H4" s="5" t="s">
        <v>2</v>
      </c>
      <c r="I4" s="53">
        <v>0</v>
      </c>
      <c r="J4" s="54">
        <f t="shared" ref="J4:J35" si="0">B4*I4</f>
        <v>0</v>
      </c>
      <c r="K4" s="30"/>
      <c r="L4" s="29"/>
      <c r="M4" s="18"/>
      <c r="O4" s="18"/>
    </row>
    <row r="5" spans="1:15" s="1" customFormat="1" ht="96.6" customHeight="1">
      <c r="A5" s="14" t="s">
        <v>97</v>
      </c>
      <c r="B5" s="108">
        <v>2824.87725</v>
      </c>
      <c r="C5" s="110">
        <v>3107.364975</v>
      </c>
      <c r="D5" s="111">
        <f t="shared" ref="D5:D68" si="1">B5*1.5</f>
        <v>4237.3158750000002</v>
      </c>
      <c r="E5" s="2"/>
      <c r="F5" s="2"/>
      <c r="G5" s="23" t="s">
        <v>95</v>
      </c>
      <c r="H5" s="5" t="s">
        <v>2</v>
      </c>
      <c r="I5" s="53">
        <v>0</v>
      </c>
      <c r="J5" s="54">
        <f t="shared" si="0"/>
        <v>0</v>
      </c>
      <c r="K5" s="30"/>
      <c r="L5" s="29"/>
      <c r="M5" s="18"/>
      <c r="O5" s="18"/>
    </row>
    <row r="6" spans="1:15" s="1" customFormat="1" ht="96.6" customHeight="1">
      <c r="A6" s="2" t="s">
        <v>116</v>
      </c>
      <c r="B6" s="108">
        <v>1700.595</v>
      </c>
      <c r="C6" s="112">
        <v>1870.6545000000001</v>
      </c>
      <c r="D6" s="111">
        <f t="shared" si="1"/>
        <v>2550.8924999999999</v>
      </c>
      <c r="E6" s="2"/>
      <c r="F6" s="2"/>
      <c r="G6" s="28" t="s">
        <v>105</v>
      </c>
      <c r="H6" s="5" t="s">
        <v>2</v>
      </c>
      <c r="I6" s="53">
        <v>0</v>
      </c>
      <c r="J6" s="54">
        <f t="shared" si="0"/>
        <v>0</v>
      </c>
      <c r="K6" s="30"/>
      <c r="L6" s="29"/>
      <c r="M6" s="18"/>
      <c r="O6" s="18"/>
    </row>
    <row r="7" spans="1:15" s="1" customFormat="1" ht="96.6" customHeight="1">
      <c r="A7" s="2" t="s">
        <v>117</v>
      </c>
      <c r="B7" s="108">
        <v>2645.37</v>
      </c>
      <c r="C7" s="112">
        <v>2909.9069999999997</v>
      </c>
      <c r="D7" s="111">
        <f t="shared" si="1"/>
        <v>3968.0549999999998</v>
      </c>
      <c r="E7" s="2"/>
      <c r="F7" s="2"/>
      <c r="G7" s="28" t="s">
        <v>108</v>
      </c>
      <c r="H7" s="5" t="s">
        <v>2</v>
      </c>
      <c r="I7" s="53">
        <v>0</v>
      </c>
      <c r="J7" s="54">
        <f t="shared" si="0"/>
        <v>0</v>
      </c>
      <c r="K7" s="30"/>
      <c r="L7" s="29"/>
      <c r="M7" s="18"/>
      <c r="O7" s="18"/>
    </row>
    <row r="8" spans="1:15" s="1" customFormat="1" ht="96.6" customHeight="1">
      <c r="A8" s="2" t="s">
        <v>83</v>
      </c>
      <c r="B8" s="108">
        <v>1700.595</v>
      </c>
      <c r="C8" s="112">
        <v>1870.6545000000001</v>
      </c>
      <c r="D8" s="111">
        <f t="shared" si="1"/>
        <v>2550.8924999999999</v>
      </c>
      <c r="E8" s="2"/>
      <c r="F8" s="2"/>
      <c r="G8" s="28" t="s">
        <v>110</v>
      </c>
      <c r="H8" s="5" t="s">
        <v>2</v>
      </c>
      <c r="I8" s="53">
        <v>0</v>
      </c>
      <c r="J8" s="54">
        <f t="shared" si="0"/>
        <v>0</v>
      </c>
      <c r="K8" s="30"/>
      <c r="L8" s="29"/>
      <c r="M8" s="18"/>
      <c r="O8" s="18"/>
    </row>
    <row r="9" spans="1:15" s="1" customFormat="1" ht="96.6" customHeight="1">
      <c r="A9" s="2" t="s">
        <v>84</v>
      </c>
      <c r="B9" s="108">
        <v>1700.595</v>
      </c>
      <c r="C9" s="112">
        <v>1870.6545000000001</v>
      </c>
      <c r="D9" s="111">
        <f t="shared" si="1"/>
        <v>2550.8924999999999</v>
      </c>
      <c r="E9" s="2"/>
      <c r="F9" s="2"/>
      <c r="G9" s="28" t="s">
        <v>106</v>
      </c>
      <c r="H9" s="5" t="s">
        <v>2</v>
      </c>
      <c r="I9" s="53">
        <v>0</v>
      </c>
      <c r="J9" s="54">
        <f t="shared" si="0"/>
        <v>0</v>
      </c>
      <c r="K9" s="30"/>
      <c r="L9" s="29"/>
      <c r="M9" s="18"/>
      <c r="O9" s="18"/>
    </row>
    <row r="10" spans="1:15" s="1" customFormat="1" ht="96.6" customHeight="1">
      <c r="A10" s="2" t="s">
        <v>118</v>
      </c>
      <c r="B10" s="108">
        <v>1700.595</v>
      </c>
      <c r="C10" s="112">
        <v>1870.6545000000001</v>
      </c>
      <c r="D10" s="111">
        <f t="shared" si="1"/>
        <v>2550.8924999999999</v>
      </c>
      <c r="E10" s="2"/>
      <c r="F10" s="2"/>
      <c r="G10" s="28" t="s">
        <v>107</v>
      </c>
      <c r="H10" s="5" t="s">
        <v>2</v>
      </c>
      <c r="I10" s="53">
        <v>0</v>
      </c>
      <c r="J10" s="54">
        <f t="shared" si="0"/>
        <v>0</v>
      </c>
      <c r="K10" s="30"/>
      <c r="L10" s="29"/>
      <c r="M10" s="18"/>
      <c r="O10" s="18"/>
    </row>
    <row r="11" spans="1:15" s="1" customFormat="1" ht="96.6" customHeight="1">
      <c r="A11" s="2" t="s">
        <v>85</v>
      </c>
      <c r="B11" s="108">
        <v>1700.595</v>
      </c>
      <c r="C11" s="112">
        <v>1870.6545000000001</v>
      </c>
      <c r="D11" s="111">
        <f t="shared" si="1"/>
        <v>2550.8924999999999</v>
      </c>
      <c r="E11" s="2"/>
      <c r="F11" s="2"/>
      <c r="G11" s="28" t="s">
        <v>109</v>
      </c>
      <c r="H11" s="5" t="s">
        <v>2</v>
      </c>
      <c r="I11" s="53">
        <v>0</v>
      </c>
      <c r="J11" s="54">
        <f t="shared" si="0"/>
        <v>0</v>
      </c>
      <c r="K11" s="30"/>
      <c r="L11" s="29"/>
      <c r="M11" s="18"/>
      <c r="O11" s="18"/>
    </row>
    <row r="12" spans="1:15" s="1" customFormat="1" ht="96.6" customHeight="1">
      <c r="A12" s="2" t="s">
        <v>80</v>
      </c>
      <c r="B12" s="108">
        <v>2617.02675</v>
      </c>
      <c r="C12" s="112">
        <v>2878.729425</v>
      </c>
      <c r="D12" s="111">
        <f t="shared" si="1"/>
        <v>3925.540125</v>
      </c>
      <c r="E12" s="2"/>
      <c r="F12" s="2"/>
      <c r="G12" s="28" t="s">
        <v>111</v>
      </c>
      <c r="H12" s="5" t="s">
        <v>2</v>
      </c>
      <c r="I12" s="53">
        <v>0</v>
      </c>
      <c r="J12" s="54">
        <f t="shared" si="0"/>
        <v>0</v>
      </c>
      <c r="K12" s="30"/>
      <c r="L12" s="29"/>
      <c r="M12" s="18"/>
      <c r="O12" s="18"/>
    </row>
    <row r="13" spans="1:15" s="1" customFormat="1" ht="96.6" customHeight="1">
      <c r="A13" s="2" t="s">
        <v>82</v>
      </c>
      <c r="B13" s="108">
        <v>2617.02675</v>
      </c>
      <c r="C13" s="112">
        <v>2878.729425</v>
      </c>
      <c r="D13" s="111">
        <f t="shared" si="1"/>
        <v>3925.540125</v>
      </c>
      <c r="E13" s="2"/>
      <c r="F13" s="2"/>
      <c r="G13" s="28" t="s">
        <v>112</v>
      </c>
      <c r="H13" s="5" t="s">
        <v>2</v>
      </c>
      <c r="I13" s="53">
        <v>0</v>
      </c>
      <c r="J13" s="54">
        <f t="shared" si="0"/>
        <v>0</v>
      </c>
      <c r="K13" s="30"/>
      <c r="L13" s="29"/>
      <c r="M13" s="18"/>
      <c r="O13" s="18"/>
    </row>
    <row r="14" spans="1:15" s="1" customFormat="1" ht="84.75" customHeight="1">
      <c r="A14" s="2" t="s">
        <v>81</v>
      </c>
      <c r="B14" s="108">
        <v>2617.02675</v>
      </c>
      <c r="C14" s="112">
        <v>2878.729425</v>
      </c>
      <c r="D14" s="111">
        <f t="shared" si="1"/>
        <v>3925.540125</v>
      </c>
      <c r="E14" s="2"/>
      <c r="F14" s="2"/>
      <c r="G14" s="28" t="s">
        <v>113</v>
      </c>
      <c r="H14" s="5" t="s">
        <v>2</v>
      </c>
      <c r="I14" s="53">
        <v>0</v>
      </c>
      <c r="J14" s="54">
        <f t="shared" si="0"/>
        <v>0</v>
      </c>
      <c r="K14" s="30"/>
      <c r="L14" s="29"/>
      <c r="M14" s="18"/>
      <c r="O14" s="18"/>
    </row>
    <row r="15" spans="1:15" s="1" customFormat="1" ht="34.5" customHeight="1">
      <c r="A15" s="22" t="s">
        <v>122</v>
      </c>
      <c r="B15" s="108">
        <v>1864.0410749999999</v>
      </c>
      <c r="C15" s="112">
        <v>2050.4451824999996</v>
      </c>
      <c r="D15" s="111">
        <f t="shared" si="1"/>
        <v>2796.0616124999997</v>
      </c>
      <c r="E15" s="2"/>
      <c r="F15" s="2"/>
      <c r="G15" s="25"/>
      <c r="H15" s="5" t="s">
        <v>2</v>
      </c>
      <c r="I15" s="53">
        <v>0</v>
      </c>
      <c r="J15" s="54">
        <f t="shared" si="0"/>
        <v>0</v>
      </c>
      <c r="K15" s="30"/>
      <c r="L15" s="29"/>
      <c r="M15" s="18"/>
      <c r="O15" s="18"/>
    </row>
    <row r="16" spans="1:15" s="1" customFormat="1" ht="34.5" customHeight="1">
      <c r="A16" s="22" t="s">
        <v>123</v>
      </c>
      <c r="B16" s="108">
        <v>594.26347499999997</v>
      </c>
      <c r="C16" s="112">
        <v>653.68982249999999</v>
      </c>
      <c r="D16" s="111">
        <f t="shared" si="1"/>
        <v>891.39521249999996</v>
      </c>
      <c r="E16" s="2"/>
      <c r="F16" s="2"/>
      <c r="G16" s="25"/>
      <c r="H16" s="5" t="s">
        <v>2</v>
      </c>
      <c r="I16" s="53">
        <v>0</v>
      </c>
      <c r="J16" s="54">
        <f t="shared" si="0"/>
        <v>0</v>
      </c>
      <c r="K16" s="30"/>
      <c r="L16" s="29"/>
      <c r="M16" s="18"/>
      <c r="O16" s="18"/>
    </row>
    <row r="17" spans="1:15" s="1" customFormat="1" ht="34.5" customHeight="1">
      <c r="A17" s="22" t="s">
        <v>124</v>
      </c>
      <c r="B17" s="108">
        <v>594.26347499999997</v>
      </c>
      <c r="C17" s="112">
        <v>653.68982249999999</v>
      </c>
      <c r="D17" s="111">
        <f t="shared" si="1"/>
        <v>891.39521249999996</v>
      </c>
      <c r="E17" s="2"/>
      <c r="F17" s="2"/>
      <c r="G17" s="25"/>
      <c r="H17" s="5" t="s">
        <v>2</v>
      </c>
      <c r="I17" s="53">
        <v>0</v>
      </c>
      <c r="J17" s="54">
        <f t="shared" si="0"/>
        <v>0</v>
      </c>
      <c r="K17" s="30"/>
      <c r="L17" s="29"/>
      <c r="M17" s="18"/>
      <c r="O17" s="18"/>
    </row>
    <row r="18" spans="1:15" s="1" customFormat="1" ht="34.5" customHeight="1">
      <c r="A18" s="22" t="s">
        <v>125</v>
      </c>
      <c r="B18" s="108">
        <v>1288.6731</v>
      </c>
      <c r="C18" s="112">
        <v>1417.5404100000001</v>
      </c>
      <c r="D18" s="111">
        <f t="shared" si="1"/>
        <v>1933.00965</v>
      </c>
      <c r="E18" s="2"/>
      <c r="F18" s="2"/>
      <c r="G18" s="25"/>
      <c r="H18" s="5" t="s">
        <v>2</v>
      </c>
      <c r="I18" s="53">
        <v>0</v>
      </c>
      <c r="J18" s="54">
        <f t="shared" si="0"/>
        <v>0</v>
      </c>
      <c r="K18" s="30"/>
      <c r="L18" s="29"/>
      <c r="M18" s="18"/>
      <c r="O18" s="18"/>
    </row>
    <row r="19" spans="1:15" s="1" customFormat="1" ht="34.5" customHeight="1">
      <c r="A19" s="22" t="s">
        <v>126</v>
      </c>
      <c r="B19" s="108">
        <v>1339.6909499999999</v>
      </c>
      <c r="C19" s="112">
        <v>1473.6600449999999</v>
      </c>
      <c r="D19" s="111">
        <f t="shared" si="1"/>
        <v>2009.5364249999998</v>
      </c>
      <c r="E19" s="2"/>
      <c r="F19" s="2"/>
      <c r="G19" s="25"/>
      <c r="H19" s="5" t="s">
        <v>2</v>
      </c>
      <c r="I19" s="53">
        <v>0</v>
      </c>
      <c r="J19" s="54">
        <f t="shared" si="0"/>
        <v>0</v>
      </c>
      <c r="K19" s="30"/>
      <c r="L19" s="29"/>
      <c r="M19" s="18"/>
      <c r="O19" s="18"/>
    </row>
    <row r="20" spans="1:15" s="1" customFormat="1" ht="34.5" customHeight="1">
      <c r="A20" s="22" t="s">
        <v>127</v>
      </c>
      <c r="B20" s="108">
        <v>1864.0410749999999</v>
      </c>
      <c r="C20" s="112">
        <v>2050.4451824999996</v>
      </c>
      <c r="D20" s="111">
        <f t="shared" si="1"/>
        <v>2796.0616124999997</v>
      </c>
      <c r="E20" s="2"/>
      <c r="F20" s="2"/>
      <c r="G20" s="25"/>
      <c r="H20" s="5" t="s">
        <v>2</v>
      </c>
      <c r="I20" s="53">
        <v>0</v>
      </c>
      <c r="J20" s="54">
        <f t="shared" si="0"/>
        <v>0</v>
      </c>
      <c r="K20" s="30"/>
      <c r="L20" s="29"/>
      <c r="M20" s="18"/>
      <c r="O20" s="18"/>
    </row>
    <row r="21" spans="1:15" s="1" customFormat="1" ht="34.5" customHeight="1">
      <c r="A21" s="22" t="s">
        <v>128</v>
      </c>
      <c r="B21" s="108">
        <v>1864.0410749999999</v>
      </c>
      <c r="C21" s="112">
        <v>2050.4451824999996</v>
      </c>
      <c r="D21" s="111">
        <f t="shared" si="1"/>
        <v>2796.0616124999997</v>
      </c>
      <c r="E21" s="2"/>
      <c r="F21" s="2"/>
      <c r="G21" s="25"/>
      <c r="H21" s="5" t="s">
        <v>2</v>
      </c>
      <c r="I21" s="53">
        <v>0</v>
      </c>
      <c r="J21" s="54">
        <f t="shared" si="0"/>
        <v>0</v>
      </c>
      <c r="K21" s="30"/>
      <c r="L21" s="29"/>
      <c r="M21" s="18"/>
      <c r="O21" s="18"/>
    </row>
    <row r="22" spans="1:15" s="1" customFormat="1" ht="34.5" customHeight="1">
      <c r="A22" s="22" t="s">
        <v>129</v>
      </c>
      <c r="B22" s="108">
        <v>1864.0410749999999</v>
      </c>
      <c r="C22" s="112">
        <v>2050.4451824999996</v>
      </c>
      <c r="D22" s="111">
        <f t="shared" si="1"/>
        <v>2796.0616124999997</v>
      </c>
      <c r="E22" s="2"/>
      <c r="F22" s="2"/>
      <c r="G22" s="25"/>
      <c r="H22" s="5" t="s">
        <v>2</v>
      </c>
      <c r="I22" s="53">
        <v>0</v>
      </c>
      <c r="J22" s="54">
        <f t="shared" si="0"/>
        <v>0</v>
      </c>
      <c r="K22" s="30"/>
      <c r="L22" s="29"/>
      <c r="M22" s="18"/>
      <c r="O22" s="18"/>
    </row>
    <row r="23" spans="1:15" s="1" customFormat="1" ht="34.5" customHeight="1">
      <c r="A23" s="22" t="s">
        <v>130</v>
      </c>
      <c r="B23" s="108">
        <v>1864.0410749999999</v>
      </c>
      <c r="C23" s="112">
        <v>2050.4451824999996</v>
      </c>
      <c r="D23" s="111">
        <f t="shared" si="1"/>
        <v>2796.0616124999997</v>
      </c>
      <c r="E23" s="2"/>
      <c r="F23" s="2"/>
      <c r="G23" s="25"/>
      <c r="H23" s="5" t="s">
        <v>2</v>
      </c>
      <c r="I23" s="53">
        <v>0</v>
      </c>
      <c r="J23" s="54">
        <f t="shared" si="0"/>
        <v>0</v>
      </c>
      <c r="K23" s="30"/>
      <c r="L23" s="29"/>
      <c r="M23" s="18"/>
      <c r="O23" s="18"/>
    </row>
    <row r="24" spans="1:15" s="1" customFormat="1" ht="34.5" customHeight="1">
      <c r="A24" s="22" t="s">
        <v>131</v>
      </c>
      <c r="B24" s="108">
        <v>1864.0410749999999</v>
      </c>
      <c r="C24" s="112">
        <v>2050.4451824999996</v>
      </c>
      <c r="D24" s="111">
        <f t="shared" si="1"/>
        <v>2796.0616124999997</v>
      </c>
      <c r="E24" s="2"/>
      <c r="F24" s="2"/>
      <c r="G24" s="25"/>
      <c r="H24" s="5" t="s">
        <v>2</v>
      </c>
      <c r="I24" s="53">
        <v>0</v>
      </c>
      <c r="J24" s="54">
        <f t="shared" si="0"/>
        <v>0</v>
      </c>
      <c r="K24" s="30"/>
      <c r="L24" s="29"/>
      <c r="M24" s="18"/>
      <c r="O24" s="18"/>
    </row>
    <row r="25" spans="1:15" s="1" customFormat="1" ht="34.5" customHeight="1">
      <c r="A25" s="22" t="s">
        <v>132</v>
      </c>
      <c r="B25" s="108">
        <v>1864.0410749999999</v>
      </c>
      <c r="C25" s="112">
        <v>2050.4451824999996</v>
      </c>
      <c r="D25" s="111">
        <f t="shared" si="1"/>
        <v>2796.0616124999997</v>
      </c>
      <c r="E25" s="2"/>
      <c r="F25" s="2"/>
      <c r="G25" s="25"/>
      <c r="H25" s="5" t="s">
        <v>2</v>
      </c>
      <c r="I25" s="53">
        <v>0</v>
      </c>
      <c r="J25" s="54">
        <f t="shared" si="0"/>
        <v>0</v>
      </c>
      <c r="K25" s="30"/>
      <c r="L25" s="29"/>
      <c r="M25" s="18"/>
      <c r="O25" s="18"/>
    </row>
    <row r="26" spans="1:15" s="1" customFormat="1" ht="34.5" customHeight="1">
      <c r="A26" s="22" t="s">
        <v>114</v>
      </c>
      <c r="B26" s="108">
        <v>2078.5050000000001</v>
      </c>
      <c r="C26" s="112">
        <v>2286.3555000000001</v>
      </c>
      <c r="D26" s="111">
        <f t="shared" si="1"/>
        <v>3117.7575000000002</v>
      </c>
      <c r="E26" s="2"/>
      <c r="F26" s="2"/>
      <c r="G26" s="25"/>
      <c r="H26" s="5" t="s">
        <v>2</v>
      </c>
      <c r="I26" s="53">
        <v>0</v>
      </c>
      <c r="J26" s="54">
        <f t="shared" si="0"/>
        <v>0</v>
      </c>
      <c r="K26" s="30"/>
      <c r="L26" s="29"/>
      <c r="M26" s="18"/>
      <c r="O26" s="18"/>
    </row>
    <row r="27" spans="1:15" s="1" customFormat="1" ht="34.5" customHeight="1">
      <c r="A27" s="22" t="s">
        <v>133</v>
      </c>
      <c r="B27" s="108">
        <v>1864.0410749999999</v>
      </c>
      <c r="C27" s="112">
        <v>2050.4451824999996</v>
      </c>
      <c r="D27" s="111">
        <f t="shared" si="1"/>
        <v>2796.0616124999997</v>
      </c>
      <c r="E27" s="2"/>
      <c r="F27" s="2"/>
      <c r="G27" s="25"/>
      <c r="H27" s="5" t="s">
        <v>2</v>
      </c>
      <c r="I27" s="53">
        <v>0</v>
      </c>
      <c r="J27" s="54">
        <f t="shared" si="0"/>
        <v>0</v>
      </c>
      <c r="K27" s="30"/>
      <c r="L27" s="29"/>
      <c r="M27" s="18"/>
      <c r="O27" s="18"/>
    </row>
    <row r="28" spans="1:15" s="1" customFormat="1" ht="34.5" customHeight="1">
      <c r="A28" s="22" t="s">
        <v>134</v>
      </c>
      <c r="B28" s="108">
        <v>1864.0410749999999</v>
      </c>
      <c r="C28" s="112">
        <v>2050.4451824999996</v>
      </c>
      <c r="D28" s="111">
        <f t="shared" si="1"/>
        <v>2796.0616124999997</v>
      </c>
      <c r="E28" s="2"/>
      <c r="F28" s="2"/>
      <c r="G28" s="25"/>
      <c r="H28" s="5" t="s">
        <v>2</v>
      </c>
      <c r="I28" s="53">
        <v>0</v>
      </c>
      <c r="J28" s="54">
        <f t="shared" si="0"/>
        <v>0</v>
      </c>
      <c r="K28" s="30"/>
      <c r="L28" s="29"/>
      <c r="M28" s="18"/>
      <c r="O28" s="18"/>
    </row>
    <row r="29" spans="1:15" s="1" customFormat="1" ht="34.5" customHeight="1">
      <c r="A29" s="22" t="s">
        <v>135</v>
      </c>
      <c r="B29" s="108">
        <v>855.96614999999997</v>
      </c>
      <c r="C29" s="112">
        <v>941.56276500000001</v>
      </c>
      <c r="D29" s="111">
        <f t="shared" si="1"/>
        <v>1283.9492249999998</v>
      </c>
      <c r="E29" s="2"/>
      <c r="F29" s="2"/>
      <c r="G29" s="25"/>
      <c r="H29" s="5" t="s">
        <v>2</v>
      </c>
      <c r="I29" s="53">
        <v>0</v>
      </c>
      <c r="J29" s="54">
        <f t="shared" si="0"/>
        <v>0</v>
      </c>
      <c r="K29" s="30"/>
      <c r="L29" s="29"/>
      <c r="M29" s="18"/>
      <c r="O29" s="18"/>
    </row>
    <row r="30" spans="1:15" s="1" customFormat="1" ht="34.5" customHeight="1">
      <c r="A30" s="22" t="s">
        <v>136</v>
      </c>
      <c r="B30" s="108">
        <v>855.96614999999997</v>
      </c>
      <c r="C30" s="112">
        <v>941.56276500000001</v>
      </c>
      <c r="D30" s="111">
        <f t="shared" si="1"/>
        <v>1283.9492249999998</v>
      </c>
      <c r="E30" s="2"/>
      <c r="F30" s="2"/>
      <c r="G30" s="25"/>
      <c r="H30" s="5" t="s">
        <v>2</v>
      </c>
      <c r="I30" s="53">
        <v>0</v>
      </c>
      <c r="J30" s="54">
        <f t="shared" si="0"/>
        <v>0</v>
      </c>
      <c r="K30" s="30"/>
      <c r="L30" s="29"/>
      <c r="M30" s="18"/>
      <c r="O30" s="18"/>
    </row>
    <row r="31" spans="1:15" s="1" customFormat="1" ht="34.5" customHeight="1">
      <c r="A31" s="22" t="s">
        <v>137</v>
      </c>
      <c r="B31" s="108">
        <v>855.96614999999997</v>
      </c>
      <c r="C31" s="112">
        <v>941.56276500000001</v>
      </c>
      <c r="D31" s="111">
        <f t="shared" si="1"/>
        <v>1283.9492249999998</v>
      </c>
      <c r="E31" s="2"/>
      <c r="F31" s="2"/>
      <c r="G31" s="25"/>
      <c r="H31" s="5" t="s">
        <v>2</v>
      </c>
      <c r="I31" s="53">
        <v>0</v>
      </c>
      <c r="J31" s="54">
        <f t="shared" si="0"/>
        <v>0</v>
      </c>
      <c r="K31" s="30"/>
      <c r="L31" s="29"/>
      <c r="M31" s="18"/>
      <c r="O31" s="18"/>
    </row>
    <row r="32" spans="1:15" s="1" customFormat="1" ht="34.5" customHeight="1">
      <c r="A32" s="22" t="s">
        <v>138</v>
      </c>
      <c r="B32" s="108">
        <v>855.96614999999997</v>
      </c>
      <c r="C32" s="112">
        <v>941.56276500000001</v>
      </c>
      <c r="D32" s="111">
        <f t="shared" si="1"/>
        <v>1283.9492249999998</v>
      </c>
      <c r="E32" s="2"/>
      <c r="F32" s="2"/>
      <c r="G32" s="25"/>
      <c r="H32" s="5" t="s">
        <v>2</v>
      </c>
      <c r="I32" s="53">
        <v>0</v>
      </c>
      <c r="J32" s="54">
        <f t="shared" si="0"/>
        <v>0</v>
      </c>
      <c r="K32" s="30"/>
      <c r="L32" s="29"/>
      <c r="M32" s="18"/>
      <c r="O32" s="18"/>
    </row>
    <row r="33" spans="1:15" s="1" customFormat="1" ht="34.5" customHeight="1">
      <c r="A33" s="22" t="s">
        <v>139</v>
      </c>
      <c r="B33" s="108">
        <v>855.96614999999997</v>
      </c>
      <c r="C33" s="112">
        <v>941.56276500000001</v>
      </c>
      <c r="D33" s="111">
        <f t="shared" si="1"/>
        <v>1283.9492249999998</v>
      </c>
      <c r="E33" s="2"/>
      <c r="F33" s="2"/>
      <c r="G33" s="25"/>
      <c r="H33" s="5" t="s">
        <v>2</v>
      </c>
      <c r="I33" s="53">
        <v>0</v>
      </c>
      <c r="J33" s="54">
        <f t="shared" si="0"/>
        <v>0</v>
      </c>
      <c r="K33" s="30"/>
      <c r="L33" s="29"/>
      <c r="M33" s="18"/>
      <c r="O33" s="18"/>
    </row>
    <row r="34" spans="1:15" s="1" customFormat="1" ht="34.5" customHeight="1">
      <c r="A34" s="22" t="s">
        <v>140</v>
      </c>
      <c r="B34" s="108">
        <v>1058.1480000000001</v>
      </c>
      <c r="C34" s="112">
        <v>1163.9628000000002</v>
      </c>
      <c r="D34" s="111">
        <f t="shared" si="1"/>
        <v>1587.2220000000002</v>
      </c>
      <c r="E34" s="2"/>
      <c r="F34" s="2"/>
      <c r="G34" s="25"/>
      <c r="H34" s="5" t="s">
        <v>2</v>
      </c>
      <c r="I34" s="53">
        <v>0</v>
      </c>
      <c r="J34" s="54">
        <f t="shared" si="0"/>
        <v>0</v>
      </c>
      <c r="K34" s="30"/>
      <c r="L34" s="29"/>
      <c r="M34" s="18"/>
      <c r="O34" s="18"/>
    </row>
    <row r="35" spans="1:15" s="1" customFormat="1" ht="34.5" customHeight="1">
      <c r="A35" s="22" t="s">
        <v>141</v>
      </c>
      <c r="B35" s="108">
        <v>1058.1480000000001</v>
      </c>
      <c r="C35" s="112">
        <v>1163.9628000000002</v>
      </c>
      <c r="D35" s="111">
        <f t="shared" si="1"/>
        <v>1587.2220000000002</v>
      </c>
      <c r="E35" s="2"/>
      <c r="F35" s="2"/>
      <c r="G35" s="25"/>
      <c r="H35" s="5" t="s">
        <v>2</v>
      </c>
      <c r="I35" s="53">
        <v>0</v>
      </c>
      <c r="J35" s="54">
        <f t="shared" si="0"/>
        <v>0</v>
      </c>
      <c r="K35" s="30"/>
      <c r="L35" s="29"/>
      <c r="M35" s="18"/>
      <c r="O35" s="18"/>
    </row>
    <row r="36" spans="1:15" s="1" customFormat="1" ht="34.5" customHeight="1">
      <c r="A36" s="22" t="s">
        <v>142</v>
      </c>
      <c r="B36" s="108">
        <v>855.96614999999997</v>
      </c>
      <c r="C36" s="112">
        <v>941.56276500000001</v>
      </c>
      <c r="D36" s="111">
        <f t="shared" si="1"/>
        <v>1283.9492249999998</v>
      </c>
      <c r="E36" s="2"/>
      <c r="F36" s="2"/>
      <c r="G36" s="25"/>
      <c r="H36" s="5" t="s">
        <v>2</v>
      </c>
      <c r="I36" s="53">
        <v>0</v>
      </c>
      <c r="J36" s="54">
        <f t="shared" ref="J36:J67" si="2">B36*I36</f>
        <v>0</v>
      </c>
      <c r="K36" s="30"/>
      <c r="L36" s="29"/>
      <c r="M36" s="18"/>
      <c r="O36" s="18"/>
    </row>
    <row r="37" spans="1:15" s="1" customFormat="1" ht="34.5" customHeight="1">
      <c r="A37" s="22" t="s">
        <v>143</v>
      </c>
      <c r="B37" s="108">
        <v>252.25492500000001</v>
      </c>
      <c r="C37" s="112">
        <v>277.48041750000004</v>
      </c>
      <c r="D37" s="111">
        <f t="shared" si="1"/>
        <v>378.38238750000005</v>
      </c>
      <c r="E37" s="2"/>
      <c r="F37" s="2"/>
      <c r="G37" s="25"/>
      <c r="H37" s="5" t="s">
        <v>2</v>
      </c>
      <c r="I37" s="53">
        <v>0</v>
      </c>
      <c r="J37" s="54">
        <f t="shared" si="2"/>
        <v>0</v>
      </c>
      <c r="K37" s="30"/>
      <c r="L37" s="29"/>
      <c r="M37" s="18"/>
      <c r="O37" s="18"/>
    </row>
    <row r="38" spans="1:15" s="1" customFormat="1" ht="34.5" customHeight="1">
      <c r="A38" s="22" t="s">
        <v>144</v>
      </c>
      <c r="B38" s="108">
        <v>855.96614999999997</v>
      </c>
      <c r="C38" s="112">
        <v>941.56276500000001</v>
      </c>
      <c r="D38" s="111">
        <f t="shared" si="1"/>
        <v>1283.9492249999998</v>
      </c>
      <c r="E38" s="2"/>
      <c r="F38" s="2"/>
      <c r="G38" s="25"/>
      <c r="H38" s="5" t="s">
        <v>2</v>
      </c>
      <c r="I38" s="53">
        <v>0</v>
      </c>
      <c r="J38" s="54">
        <f t="shared" si="2"/>
        <v>0</v>
      </c>
      <c r="K38" s="30"/>
      <c r="L38" s="29"/>
      <c r="M38" s="18"/>
      <c r="O38" s="18"/>
    </row>
    <row r="39" spans="1:15" s="1" customFormat="1" ht="34.5" customHeight="1">
      <c r="A39" s="22" t="s">
        <v>110</v>
      </c>
      <c r="B39" s="108">
        <v>1700.595</v>
      </c>
      <c r="C39" s="112">
        <v>1870.6545000000001</v>
      </c>
      <c r="D39" s="111">
        <f t="shared" si="1"/>
        <v>2550.8924999999999</v>
      </c>
      <c r="E39" s="2"/>
      <c r="F39" s="2"/>
      <c r="G39" s="25"/>
      <c r="H39" s="5" t="s">
        <v>2</v>
      </c>
      <c r="I39" s="53">
        <v>0</v>
      </c>
      <c r="J39" s="54">
        <f t="shared" si="2"/>
        <v>0</v>
      </c>
      <c r="K39" s="30"/>
      <c r="L39" s="29"/>
      <c r="M39" s="18"/>
      <c r="O39" s="18"/>
    </row>
    <row r="40" spans="1:15" s="1" customFormat="1" ht="34.5" customHeight="1">
      <c r="A40" s="22" t="s">
        <v>145</v>
      </c>
      <c r="B40" s="108">
        <v>2355.324075</v>
      </c>
      <c r="C40" s="112">
        <v>2590.8564824999999</v>
      </c>
      <c r="D40" s="111">
        <f t="shared" si="1"/>
        <v>3532.9861124999998</v>
      </c>
      <c r="E40" s="2"/>
      <c r="F40" s="2"/>
      <c r="G40" s="25"/>
      <c r="H40" s="5" t="s">
        <v>2</v>
      </c>
      <c r="I40" s="53">
        <v>0</v>
      </c>
      <c r="J40" s="54">
        <f t="shared" si="2"/>
        <v>0</v>
      </c>
      <c r="K40" s="30"/>
      <c r="L40" s="29"/>
      <c r="M40" s="18"/>
      <c r="O40" s="18"/>
    </row>
    <row r="41" spans="1:15" s="1" customFormat="1" ht="34.5" customHeight="1">
      <c r="A41" s="22" t="s">
        <v>146</v>
      </c>
      <c r="B41" s="108">
        <v>2617.02675</v>
      </c>
      <c r="C41" s="112">
        <v>2878.729425</v>
      </c>
      <c r="D41" s="111">
        <f t="shared" si="1"/>
        <v>3925.540125</v>
      </c>
      <c r="E41" s="2"/>
      <c r="F41" s="2"/>
      <c r="G41" s="25"/>
      <c r="H41" s="5" t="s">
        <v>2</v>
      </c>
      <c r="I41" s="53">
        <v>0</v>
      </c>
      <c r="J41" s="54">
        <f t="shared" si="2"/>
        <v>0</v>
      </c>
      <c r="K41" s="30"/>
      <c r="L41" s="29"/>
      <c r="M41" s="18"/>
      <c r="O41" s="18"/>
    </row>
    <row r="42" spans="1:15" s="1" customFormat="1" ht="34.5" customHeight="1">
      <c r="A42" s="22" t="s">
        <v>106</v>
      </c>
      <c r="B42" s="108">
        <v>1700.595</v>
      </c>
      <c r="C42" s="112">
        <v>1870.6545000000001</v>
      </c>
      <c r="D42" s="111">
        <f t="shared" si="1"/>
        <v>2550.8924999999999</v>
      </c>
      <c r="E42" s="2"/>
      <c r="F42" s="2"/>
      <c r="G42" s="25"/>
      <c r="H42" s="5" t="s">
        <v>2</v>
      </c>
      <c r="I42" s="53">
        <v>0</v>
      </c>
      <c r="J42" s="54">
        <f t="shared" si="2"/>
        <v>0</v>
      </c>
      <c r="K42" s="30"/>
      <c r="L42" s="29"/>
      <c r="M42" s="18"/>
      <c r="O42" s="18"/>
    </row>
    <row r="43" spans="1:15" s="1" customFormat="1" ht="34.5" customHeight="1">
      <c r="A43" s="22" t="s">
        <v>108</v>
      </c>
      <c r="B43" s="108">
        <v>2645.37</v>
      </c>
      <c r="C43" s="112">
        <v>2909.9069999999997</v>
      </c>
      <c r="D43" s="111">
        <f t="shared" si="1"/>
        <v>3968.0549999999998</v>
      </c>
      <c r="E43" s="2"/>
      <c r="F43" s="2"/>
      <c r="G43" s="25"/>
      <c r="H43" s="5" t="s">
        <v>2</v>
      </c>
      <c r="I43" s="53">
        <v>0</v>
      </c>
      <c r="J43" s="54">
        <f t="shared" si="2"/>
        <v>0</v>
      </c>
      <c r="K43" s="30"/>
      <c r="L43" s="29"/>
      <c r="M43" s="18"/>
      <c r="O43" s="18"/>
    </row>
    <row r="44" spans="1:15" s="1" customFormat="1" ht="34.5" customHeight="1">
      <c r="A44" s="22" t="s">
        <v>105</v>
      </c>
      <c r="B44" s="108">
        <v>1700.595</v>
      </c>
      <c r="C44" s="112">
        <v>1870.6545000000001</v>
      </c>
      <c r="D44" s="111">
        <f t="shared" si="1"/>
        <v>2550.8924999999999</v>
      </c>
      <c r="E44" s="2"/>
      <c r="F44" s="2"/>
      <c r="G44" s="25"/>
      <c r="H44" s="5" t="s">
        <v>2</v>
      </c>
      <c r="I44" s="53">
        <v>0</v>
      </c>
      <c r="J44" s="54">
        <f t="shared" si="2"/>
        <v>0</v>
      </c>
      <c r="K44" s="30"/>
      <c r="L44" s="29"/>
      <c r="M44" s="18"/>
      <c r="O44" s="18"/>
    </row>
    <row r="45" spans="1:15" s="1" customFormat="1" ht="34.5" customHeight="1">
      <c r="A45" s="22" t="s">
        <v>147</v>
      </c>
      <c r="B45" s="108">
        <v>1819.6366499999999</v>
      </c>
      <c r="C45" s="112">
        <v>2001.6003149999999</v>
      </c>
      <c r="D45" s="111">
        <f t="shared" si="1"/>
        <v>2729.4549749999996</v>
      </c>
      <c r="E45" s="2"/>
      <c r="F45" s="2"/>
      <c r="G45" s="25"/>
      <c r="H45" s="5" t="s">
        <v>2</v>
      </c>
      <c r="I45" s="53">
        <v>0</v>
      </c>
      <c r="J45" s="54">
        <f t="shared" si="2"/>
        <v>0</v>
      </c>
      <c r="K45" s="30"/>
      <c r="L45" s="29"/>
      <c r="M45" s="18"/>
      <c r="O45" s="18"/>
    </row>
    <row r="46" spans="1:15" s="1" customFormat="1" ht="34.5" customHeight="1">
      <c r="A46" s="22" t="s">
        <v>111</v>
      </c>
      <c r="B46" s="108">
        <v>2617.02675</v>
      </c>
      <c r="C46" s="112">
        <v>2878.729425</v>
      </c>
      <c r="D46" s="111">
        <f t="shared" si="1"/>
        <v>3925.540125</v>
      </c>
      <c r="E46" s="2"/>
      <c r="F46" s="2"/>
      <c r="G46" s="25"/>
      <c r="H46" s="5" t="s">
        <v>2</v>
      </c>
      <c r="I46" s="53">
        <v>0</v>
      </c>
      <c r="J46" s="54">
        <f t="shared" si="2"/>
        <v>0</v>
      </c>
      <c r="K46" s="30"/>
      <c r="L46" s="29"/>
      <c r="M46" s="18"/>
      <c r="O46" s="18"/>
    </row>
    <row r="47" spans="1:15" s="1" customFormat="1" ht="34.5" customHeight="1">
      <c r="A47" s="22" t="s">
        <v>148</v>
      </c>
      <c r="B47" s="108">
        <v>1700.595</v>
      </c>
      <c r="C47" s="112">
        <v>1870.6545000000001</v>
      </c>
      <c r="D47" s="111">
        <f t="shared" si="1"/>
        <v>2550.8924999999999</v>
      </c>
      <c r="E47" s="2"/>
      <c r="F47" s="2"/>
      <c r="G47" s="25"/>
      <c r="H47" s="5" t="s">
        <v>2</v>
      </c>
      <c r="I47" s="53">
        <v>0</v>
      </c>
      <c r="J47" s="54">
        <f t="shared" si="2"/>
        <v>0</v>
      </c>
      <c r="K47" s="30"/>
      <c r="L47" s="29"/>
      <c r="M47" s="18"/>
      <c r="O47" s="18"/>
    </row>
    <row r="48" spans="1:15" s="1" customFormat="1" ht="34.5" customHeight="1">
      <c r="A48" s="22" t="s">
        <v>149</v>
      </c>
      <c r="B48" s="108">
        <v>1649.5771500000001</v>
      </c>
      <c r="C48" s="112">
        <v>1814.5348650000001</v>
      </c>
      <c r="D48" s="111">
        <f t="shared" si="1"/>
        <v>2474.3657250000001</v>
      </c>
      <c r="E48" s="2"/>
      <c r="F48" s="2"/>
      <c r="G48" s="25"/>
      <c r="H48" s="5" t="s">
        <v>2</v>
      </c>
      <c r="I48" s="53">
        <v>0</v>
      </c>
      <c r="J48" s="54">
        <f t="shared" si="2"/>
        <v>0</v>
      </c>
      <c r="K48" s="30"/>
      <c r="L48" s="29"/>
      <c r="M48" s="18"/>
      <c r="O48" s="18"/>
    </row>
    <row r="49" spans="1:15" s="1" customFormat="1" ht="34.5" customHeight="1">
      <c r="A49" s="22" t="s">
        <v>150</v>
      </c>
      <c r="B49" s="108">
        <v>2617.02675</v>
      </c>
      <c r="C49" s="112">
        <v>2878.729425</v>
      </c>
      <c r="D49" s="111">
        <f t="shared" si="1"/>
        <v>3925.540125</v>
      </c>
      <c r="E49" s="2"/>
      <c r="F49" s="2"/>
      <c r="G49" s="25"/>
      <c r="H49" s="5" t="s">
        <v>2</v>
      </c>
      <c r="I49" s="53">
        <v>0</v>
      </c>
      <c r="J49" s="54">
        <f t="shared" si="2"/>
        <v>0</v>
      </c>
      <c r="K49" s="30"/>
      <c r="L49" s="29"/>
      <c r="M49" s="18"/>
      <c r="O49" s="18"/>
    </row>
    <row r="50" spans="1:15" s="1" customFormat="1" ht="34.5" customHeight="1">
      <c r="A50" s="22" t="s">
        <v>109</v>
      </c>
      <c r="B50" s="108">
        <v>1700.595</v>
      </c>
      <c r="C50" s="112">
        <v>1870.6545000000001</v>
      </c>
      <c r="D50" s="111">
        <f t="shared" si="1"/>
        <v>2550.8924999999999</v>
      </c>
      <c r="E50" s="2"/>
      <c r="F50" s="2"/>
      <c r="G50" s="25"/>
      <c r="H50" s="5" t="s">
        <v>2</v>
      </c>
      <c r="I50" s="53">
        <v>0</v>
      </c>
      <c r="J50" s="54">
        <f t="shared" si="2"/>
        <v>0</v>
      </c>
      <c r="K50" s="30"/>
      <c r="L50" s="29"/>
      <c r="M50" s="18"/>
      <c r="O50" s="18"/>
    </row>
    <row r="51" spans="1:15" s="1" customFormat="1" ht="34.5" customHeight="1">
      <c r="A51" s="22" t="s">
        <v>151</v>
      </c>
      <c r="B51" s="108">
        <v>1819.6366499999999</v>
      </c>
      <c r="C51" s="112">
        <v>2001.6003149999999</v>
      </c>
      <c r="D51" s="111">
        <f t="shared" si="1"/>
        <v>2729.4549749999996</v>
      </c>
      <c r="E51" s="2"/>
      <c r="F51" s="2"/>
      <c r="G51" s="25"/>
      <c r="H51" s="5" t="s">
        <v>2</v>
      </c>
      <c r="I51" s="53">
        <v>0</v>
      </c>
      <c r="J51" s="54">
        <f t="shared" si="2"/>
        <v>0</v>
      </c>
      <c r="K51" s="30"/>
      <c r="L51" s="29"/>
      <c r="M51" s="18"/>
      <c r="O51" s="18"/>
    </row>
    <row r="52" spans="1:15" s="1" customFormat="1" ht="34.5" customHeight="1">
      <c r="A52" s="22" t="s">
        <v>152</v>
      </c>
      <c r="B52" s="108">
        <v>1649.5771500000001</v>
      </c>
      <c r="C52" s="112">
        <v>1814.5348650000001</v>
      </c>
      <c r="D52" s="111">
        <f t="shared" si="1"/>
        <v>2474.3657250000001</v>
      </c>
      <c r="E52" s="2"/>
      <c r="F52" s="2"/>
      <c r="G52" s="25"/>
      <c r="H52" s="5" t="s">
        <v>2</v>
      </c>
      <c r="I52" s="53">
        <v>0</v>
      </c>
      <c r="J52" s="54">
        <f t="shared" si="2"/>
        <v>0</v>
      </c>
      <c r="K52" s="30"/>
      <c r="L52" s="29"/>
      <c r="M52" s="18"/>
      <c r="O52" s="18"/>
    </row>
    <row r="53" spans="1:15" s="1" customFormat="1" ht="34.5" customHeight="1">
      <c r="A53" s="22" t="s">
        <v>113</v>
      </c>
      <c r="B53" s="108">
        <v>2617.02675</v>
      </c>
      <c r="C53" s="112">
        <v>2878.729425</v>
      </c>
      <c r="D53" s="111">
        <f t="shared" si="1"/>
        <v>3925.540125</v>
      </c>
      <c r="E53" s="2"/>
      <c r="F53" s="2"/>
      <c r="G53" s="25"/>
      <c r="H53" s="5" t="s">
        <v>2</v>
      </c>
      <c r="I53" s="53">
        <v>0</v>
      </c>
      <c r="J53" s="54">
        <f t="shared" si="2"/>
        <v>0</v>
      </c>
      <c r="K53" s="30"/>
      <c r="L53" s="29"/>
      <c r="M53" s="18"/>
      <c r="O53" s="18"/>
    </row>
    <row r="54" spans="1:15" s="1" customFormat="1" ht="34.5" customHeight="1">
      <c r="A54" s="22" t="s">
        <v>115</v>
      </c>
      <c r="B54" s="108">
        <v>2078.5050000000001</v>
      </c>
      <c r="C54" s="112">
        <v>2286.3555000000001</v>
      </c>
      <c r="D54" s="111">
        <f t="shared" si="1"/>
        <v>3117.7575000000002</v>
      </c>
      <c r="E54" s="2"/>
      <c r="F54" s="2"/>
      <c r="G54" s="25"/>
      <c r="H54" s="5" t="s">
        <v>2</v>
      </c>
      <c r="I54" s="53">
        <v>0</v>
      </c>
      <c r="J54" s="54">
        <f t="shared" si="2"/>
        <v>0</v>
      </c>
      <c r="K54" s="30"/>
      <c r="L54" s="29"/>
      <c r="M54" s="18"/>
      <c r="O54" s="18"/>
    </row>
    <row r="55" spans="1:15" s="1" customFormat="1" ht="34.5" customHeight="1">
      <c r="A55" s="22" t="s">
        <v>153</v>
      </c>
      <c r="B55" s="108">
        <v>755.82</v>
      </c>
      <c r="C55" s="112">
        <v>831.40200000000004</v>
      </c>
      <c r="D55" s="111">
        <f t="shared" si="1"/>
        <v>1133.73</v>
      </c>
      <c r="E55" s="2"/>
      <c r="F55" s="2"/>
      <c r="G55" s="25"/>
      <c r="H55" s="5" t="s">
        <v>2</v>
      </c>
      <c r="I55" s="53">
        <v>0</v>
      </c>
      <c r="J55" s="54">
        <f t="shared" si="2"/>
        <v>0</v>
      </c>
      <c r="K55" s="30"/>
      <c r="L55" s="29"/>
      <c r="M55" s="18"/>
      <c r="O55" s="18"/>
    </row>
    <row r="56" spans="1:15" s="1" customFormat="1" ht="34.5" customHeight="1">
      <c r="A56" s="22" t="s">
        <v>154</v>
      </c>
      <c r="B56" s="108">
        <v>755.82</v>
      </c>
      <c r="C56" s="112">
        <v>831.40200000000004</v>
      </c>
      <c r="D56" s="111">
        <f t="shared" si="1"/>
        <v>1133.73</v>
      </c>
      <c r="E56" s="2"/>
      <c r="F56" s="2"/>
      <c r="G56" s="25"/>
      <c r="H56" s="5" t="s">
        <v>2</v>
      </c>
      <c r="I56" s="53">
        <v>0</v>
      </c>
      <c r="J56" s="54">
        <f t="shared" si="2"/>
        <v>0</v>
      </c>
      <c r="K56" s="30"/>
      <c r="L56" s="29"/>
      <c r="M56" s="18"/>
      <c r="O56" s="18"/>
    </row>
    <row r="57" spans="1:15" s="1" customFormat="1" ht="34.5" customHeight="1">
      <c r="A57" s="22" t="s">
        <v>155</v>
      </c>
      <c r="B57" s="108">
        <v>755.82</v>
      </c>
      <c r="C57" s="112">
        <v>831.40200000000004</v>
      </c>
      <c r="D57" s="111">
        <f t="shared" si="1"/>
        <v>1133.73</v>
      </c>
      <c r="E57" s="2"/>
      <c r="F57" s="2"/>
      <c r="G57" s="25"/>
      <c r="H57" s="5" t="s">
        <v>2</v>
      </c>
      <c r="I57" s="53">
        <v>0</v>
      </c>
      <c r="J57" s="54">
        <f t="shared" si="2"/>
        <v>0</v>
      </c>
      <c r="K57" s="30"/>
      <c r="L57" s="29"/>
      <c r="M57" s="18"/>
      <c r="O57" s="18"/>
    </row>
    <row r="58" spans="1:15" s="1" customFormat="1" ht="34.5" customHeight="1">
      <c r="A58" s="22" t="s">
        <v>156</v>
      </c>
      <c r="B58" s="108">
        <v>654.72907499999997</v>
      </c>
      <c r="C58" s="112">
        <v>720.20198249999999</v>
      </c>
      <c r="D58" s="111">
        <f t="shared" si="1"/>
        <v>982.09361249999995</v>
      </c>
      <c r="E58" s="2"/>
      <c r="F58" s="2"/>
      <c r="G58" s="25"/>
      <c r="H58" s="5" t="s">
        <v>2</v>
      </c>
      <c r="I58" s="53">
        <v>0</v>
      </c>
      <c r="J58" s="54">
        <f t="shared" si="2"/>
        <v>0</v>
      </c>
      <c r="K58" s="30"/>
      <c r="L58" s="29"/>
      <c r="M58" s="18"/>
      <c r="O58" s="18"/>
    </row>
    <row r="59" spans="1:15" s="1" customFormat="1" ht="34.5" customHeight="1">
      <c r="A59" s="22" t="s">
        <v>157</v>
      </c>
      <c r="B59" s="108">
        <v>661.34249999999997</v>
      </c>
      <c r="C59" s="112">
        <v>727.47674999999992</v>
      </c>
      <c r="D59" s="111">
        <f t="shared" si="1"/>
        <v>992.01374999999996</v>
      </c>
      <c r="E59" s="2"/>
      <c r="F59" s="2"/>
      <c r="G59" s="25"/>
      <c r="H59" s="5" t="s">
        <v>2</v>
      </c>
      <c r="I59" s="53">
        <v>0</v>
      </c>
      <c r="J59" s="54">
        <f t="shared" si="2"/>
        <v>0</v>
      </c>
      <c r="K59" s="30"/>
      <c r="L59" s="29"/>
      <c r="M59" s="18"/>
      <c r="O59" s="18"/>
    </row>
    <row r="60" spans="1:15" s="1" customFormat="1" ht="34.5" customHeight="1">
      <c r="A60" s="22" t="s">
        <v>158</v>
      </c>
      <c r="B60" s="108">
        <v>654.72907499999997</v>
      </c>
      <c r="C60" s="112">
        <v>720.20198249999999</v>
      </c>
      <c r="D60" s="111">
        <f t="shared" si="1"/>
        <v>982.09361249999995</v>
      </c>
      <c r="E60" s="2"/>
      <c r="F60" s="2"/>
      <c r="G60" s="25"/>
      <c r="H60" s="5" t="s">
        <v>2</v>
      </c>
      <c r="I60" s="53">
        <v>0</v>
      </c>
      <c r="J60" s="54">
        <f t="shared" si="2"/>
        <v>0</v>
      </c>
      <c r="K60" s="30"/>
      <c r="L60" s="29"/>
      <c r="M60" s="18"/>
      <c r="O60" s="18"/>
    </row>
    <row r="61" spans="1:15" s="1" customFormat="1" ht="34.5" customHeight="1">
      <c r="A61" s="22" t="s">
        <v>159</v>
      </c>
      <c r="B61" s="108">
        <v>654.72907499999997</v>
      </c>
      <c r="C61" s="112">
        <v>720.20198249999999</v>
      </c>
      <c r="D61" s="111">
        <f t="shared" si="1"/>
        <v>982.09361249999995</v>
      </c>
      <c r="E61" s="2"/>
      <c r="F61" s="2"/>
      <c r="G61" s="25"/>
      <c r="H61" s="5" t="s">
        <v>2</v>
      </c>
      <c r="I61" s="53">
        <v>0</v>
      </c>
      <c r="J61" s="54">
        <f t="shared" si="2"/>
        <v>0</v>
      </c>
      <c r="K61" s="30"/>
      <c r="L61" s="29"/>
      <c r="M61" s="18"/>
      <c r="O61" s="18"/>
    </row>
    <row r="62" spans="1:15" s="1" customFormat="1" ht="34.5" customHeight="1">
      <c r="A62" s="22" t="s">
        <v>160</v>
      </c>
      <c r="B62" s="108">
        <v>906.03922499999999</v>
      </c>
      <c r="C62" s="112">
        <v>996.64314749999994</v>
      </c>
      <c r="D62" s="111">
        <f t="shared" si="1"/>
        <v>1359.0588375</v>
      </c>
      <c r="E62" s="2"/>
      <c r="F62" s="2"/>
      <c r="G62" s="25"/>
      <c r="H62" s="5" t="s">
        <v>2</v>
      </c>
      <c r="I62" s="53">
        <v>0</v>
      </c>
      <c r="J62" s="54">
        <f t="shared" si="2"/>
        <v>0</v>
      </c>
      <c r="K62" s="30"/>
      <c r="L62" s="29"/>
      <c r="M62" s="18"/>
      <c r="O62" s="18"/>
    </row>
    <row r="63" spans="1:15" s="1" customFormat="1" ht="34.5" customHeight="1">
      <c r="A63" s="22" t="s">
        <v>161</v>
      </c>
      <c r="B63" s="108">
        <v>661.34249999999997</v>
      </c>
      <c r="C63" s="112">
        <v>727.47674999999992</v>
      </c>
      <c r="D63" s="111">
        <f t="shared" si="1"/>
        <v>992.01374999999996</v>
      </c>
      <c r="E63" s="2"/>
      <c r="F63" s="2"/>
      <c r="G63" s="25"/>
      <c r="H63" s="5" t="s">
        <v>2</v>
      </c>
      <c r="I63" s="53">
        <v>0</v>
      </c>
      <c r="J63" s="54">
        <f t="shared" si="2"/>
        <v>0</v>
      </c>
      <c r="K63" s="30"/>
      <c r="L63" s="29"/>
      <c r="M63" s="18"/>
      <c r="O63" s="18"/>
    </row>
    <row r="64" spans="1:15" s="1" customFormat="1" ht="34.5" customHeight="1">
      <c r="A64" s="22" t="s">
        <v>162</v>
      </c>
      <c r="B64" s="108">
        <v>654.72907499999997</v>
      </c>
      <c r="C64" s="112">
        <v>720.20198249999999</v>
      </c>
      <c r="D64" s="111">
        <f t="shared" si="1"/>
        <v>982.09361249999995</v>
      </c>
      <c r="E64" s="2"/>
      <c r="F64" s="2"/>
      <c r="G64" s="25"/>
      <c r="H64" s="5" t="s">
        <v>2</v>
      </c>
      <c r="I64" s="53">
        <v>0</v>
      </c>
      <c r="J64" s="54">
        <f t="shared" si="2"/>
        <v>0</v>
      </c>
      <c r="K64" s="30"/>
      <c r="L64" s="29"/>
      <c r="M64" s="18"/>
      <c r="O64" s="18"/>
    </row>
    <row r="65" spans="1:15" s="1" customFormat="1" ht="34.5" customHeight="1">
      <c r="A65" s="22" t="s">
        <v>163</v>
      </c>
      <c r="B65" s="108">
        <v>654.72907499999997</v>
      </c>
      <c r="C65" s="112">
        <v>720.20198249999999</v>
      </c>
      <c r="D65" s="111">
        <f t="shared" si="1"/>
        <v>982.09361249999995</v>
      </c>
      <c r="E65" s="2"/>
      <c r="F65" s="2"/>
      <c r="G65" s="25"/>
      <c r="H65" s="5" t="s">
        <v>2</v>
      </c>
      <c r="I65" s="53">
        <v>0</v>
      </c>
      <c r="J65" s="54">
        <f t="shared" si="2"/>
        <v>0</v>
      </c>
      <c r="K65" s="30"/>
      <c r="L65" s="29"/>
      <c r="M65" s="18"/>
      <c r="O65" s="18"/>
    </row>
    <row r="66" spans="1:15" s="1" customFormat="1" ht="34.5" customHeight="1">
      <c r="A66" s="22" t="s">
        <v>164</v>
      </c>
      <c r="B66" s="108">
        <v>654.72907499999997</v>
      </c>
      <c r="C66" s="112">
        <v>720.20198249999999</v>
      </c>
      <c r="D66" s="111">
        <f t="shared" si="1"/>
        <v>982.09361249999995</v>
      </c>
      <c r="E66" s="2"/>
      <c r="F66" s="2"/>
      <c r="G66" s="25"/>
      <c r="H66" s="5" t="s">
        <v>2</v>
      </c>
      <c r="I66" s="53">
        <v>0</v>
      </c>
      <c r="J66" s="54">
        <f t="shared" si="2"/>
        <v>0</v>
      </c>
      <c r="K66" s="30"/>
      <c r="L66" s="29"/>
      <c r="M66" s="18"/>
      <c r="O66" s="18"/>
    </row>
    <row r="67" spans="1:15" s="1" customFormat="1" ht="34.5" customHeight="1">
      <c r="A67" s="22" t="s">
        <v>165</v>
      </c>
      <c r="B67" s="108">
        <v>654.72907499999997</v>
      </c>
      <c r="C67" s="112">
        <v>720.20198249999999</v>
      </c>
      <c r="D67" s="111">
        <f t="shared" si="1"/>
        <v>982.09361249999995</v>
      </c>
      <c r="E67" s="2"/>
      <c r="F67" s="2"/>
      <c r="G67" s="25"/>
      <c r="H67" s="5" t="s">
        <v>2</v>
      </c>
      <c r="I67" s="53">
        <v>0</v>
      </c>
      <c r="J67" s="54">
        <f t="shared" si="2"/>
        <v>0</v>
      </c>
      <c r="K67" s="30"/>
      <c r="L67" s="29"/>
      <c r="M67" s="18"/>
      <c r="O67" s="18"/>
    </row>
    <row r="68" spans="1:15" s="1" customFormat="1" ht="34.5" customHeight="1">
      <c r="A68" s="22" t="s">
        <v>166</v>
      </c>
      <c r="B68" s="108">
        <v>654.72907499999997</v>
      </c>
      <c r="C68" s="112">
        <v>720.20198249999999</v>
      </c>
      <c r="D68" s="111">
        <f t="shared" si="1"/>
        <v>982.09361249999995</v>
      </c>
      <c r="E68" s="2"/>
      <c r="F68" s="2"/>
      <c r="G68" s="25"/>
      <c r="H68" s="5" t="s">
        <v>2</v>
      </c>
      <c r="I68" s="53">
        <v>0</v>
      </c>
      <c r="J68" s="54">
        <f t="shared" ref="J68:J131" si="3">B68*I68</f>
        <v>0</v>
      </c>
      <c r="K68" s="30"/>
      <c r="L68" s="29"/>
      <c r="M68" s="18"/>
      <c r="O68" s="18"/>
    </row>
    <row r="69" spans="1:15" s="1" customFormat="1" ht="34.5" customHeight="1">
      <c r="A69" s="22" t="s">
        <v>167</v>
      </c>
      <c r="B69" s="108">
        <v>654.72907499999997</v>
      </c>
      <c r="C69" s="112">
        <v>720.20198249999999</v>
      </c>
      <c r="D69" s="111">
        <f t="shared" ref="D69:D132" si="4">B69*1.5</f>
        <v>982.09361249999995</v>
      </c>
      <c r="E69" s="2"/>
      <c r="F69" s="2"/>
      <c r="G69" s="25"/>
      <c r="H69" s="5" t="s">
        <v>2</v>
      </c>
      <c r="I69" s="53">
        <v>0</v>
      </c>
      <c r="J69" s="54">
        <f t="shared" si="3"/>
        <v>0</v>
      </c>
      <c r="K69" s="30"/>
      <c r="L69" s="29"/>
      <c r="M69" s="18"/>
      <c r="O69" s="18"/>
    </row>
    <row r="70" spans="1:15" s="1" customFormat="1" ht="34.5" customHeight="1">
      <c r="A70" s="22" t="s">
        <v>168</v>
      </c>
      <c r="B70" s="108">
        <v>654.72907499999997</v>
      </c>
      <c r="C70" s="112">
        <v>720.20198249999999</v>
      </c>
      <c r="D70" s="111">
        <f t="shared" si="4"/>
        <v>982.09361249999995</v>
      </c>
      <c r="E70" s="2"/>
      <c r="F70" s="2"/>
      <c r="G70" s="25"/>
      <c r="H70" s="5" t="s">
        <v>2</v>
      </c>
      <c r="I70" s="53">
        <v>0</v>
      </c>
      <c r="J70" s="54">
        <f t="shared" si="3"/>
        <v>0</v>
      </c>
      <c r="K70" s="30"/>
      <c r="L70" s="29"/>
      <c r="M70" s="18"/>
      <c r="O70" s="18"/>
    </row>
    <row r="71" spans="1:15" s="1" customFormat="1" ht="34.5" customHeight="1">
      <c r="A71" s="22" t="s">
        <v>169</v>
      </c>
      <c r="B71" s="108">
        <v>654.72907499999997</v>
      </c>
      <c r="C71" s="112">
        <v>720.20198249999999</v>
      </c>
      <c r="D71" s="111">
        <f t="shared" si="4"/>
        <v>982.09361249999995</v>
      </c>
      <c r="E71" s="2"/>
      <c r="F71" s="2"/>
      <c r="G71" s="25"/>
      <c r="H71" s="5" t="s">
        <v>2</v>
      </c>
      <c r="I71" s="53">
        <v>0</v>
      </c>
      <c r="J71" s="54">
        <f t="shared" si="3"/>
        <v>0</v>
      </c>
      <c r="K71" s="30"/>
      <c r="L71" s="29"/>
      <c r="M71" s="18"/>
      <c r="O71" s="18"/>
    </row>
    <row r="72" spans="1:15" s="1" customFormat="1" ht="34.5" customHeight="1">
      <c r="A72" s="22" t="s">
        <v>170</v>
      </c>
      <c r="B72" s="108">
        <v>594.26347499999997</v>
      </c>
      <c r="C72" s="112">
        <v>653.68982249999999</v>
      </c>
      <c r="D72" s="111">
        <f t="shared" si="4"/>
        <v>891.39521249999996</v>
      </c>
      <c r="E72" s="2"/>
      <c r="F72" s="2"/>
      <c r="G72" s="25"/>
      <c r="H72" s="5" t="s">
        <v>2</v>
      </c>
      <c r="I72" s="53">
        <v>0</v>
      </c>
      <c r="J72" s="54">
        <f t="shared" si="3"/>
        <v>0</v>
      </c>
      <c r="K72" s="30"/>
      <c r="L72" s="29"/>
      <c r="M72" s="18"/>
      <c r="O72" s="18"/>
    </row>
    <row r="73" spans="1:15" s="1" customFormat="1" ht="34.5" customHeight="1">
      <c r="A73" s="22" t="s">
        <v>171</v>
      </c>
      <c r="B73" s="108">
        <v>241.86239999999998</v>
      </c>
      <c r="C73" s="112">
        <v>266.04863999999998</v>
      </c>
      <c r="D73" s="111">
        <f t="shared" si="4"/>
        <v>362.79359999999997</v>
      </c>
      <c r="E73" s="2"/>
      <c r="F73" s="2"/>
      <c r="G73" s="25"/>
      <c r="H73" s="5" t="s">
        <v>2</v>
      </c>
      <c r="I73" s="53">
        <v>0</v>
      </c>
      <c r="J73" s="54">
        <f t="shared" si="3"/>
        <v>0</v>
      </c>
      <c r="K73" s="30"/>
      <c r="L73" s="29"/>
      <c r="M73" s="18"/>
      <c r="O73" s="18"/>
    </row>
    <row r="74" spans="1:15" s="1" customFormat="1" ht="34.5" customHeight="1">
      <c r="A74" s="22" t="s">
        <v>172</v>
      </c>
      <c r="B74" s="108">
        <v>241.86239999999998</v>
      </c>
      <c r="C74" s="112">
        <v>266.04863999999998</v>
      </c>
      <c r="D74" s="111">
        <f t="shared" si="4"/>
        <v>362.79359999999997</v>
      </c>
      <c r="E74" s="2"/>
      <c r="F74" s="2"/>
      <c r="G74" s="25"/>
      <c r="H74" s="5" t="s">
        <v>2</v>
      </c>
      <c r="I74" s="53">
        <v>0</v>
      </c>
      <c r="J74" s="54">
        <f t="shared" si="3"/>
        <v>0</v>
      </c>
      <c r="K74" s="30"/>
      <c r="L74" s="29"/>
      <c r="M74" s="18"/>
      <c r="O74" s="18"/>
    </row>
    <row r="75" spans="1:15" s="1" customFormat="1" ht="34.5" customHeight="1">
      <c r="A75" s="22" t="s">
        <v>173</v>
      </c>
      <c r="B75" s="108">
        <v>68.968574999999987</v>
      </c>
      <c r="C75" s="112">
        <v>75.865432499999983</v>
      </c>
      <c r="D75" s="111">
        <f t="shared" si="4"/>
        <v>103.45286249999998</v>
      </c>
      <c r="E75" s="2"/>
      <c r="F75" s="2"/>
      <c r="G75" s="25"/>
      <c r="H75" s="5" t="s">
        <v>2</v>
      </c>
      <c r="I75" s="53">
        <v>0</v>
      </c>
      <c r="J75" s="54">
        <f t="shared" si="3"/>
        <v>0</v>
      </c>
      <c r="K75" s="30"/>
      <c r="L75" s="29"/>
      <c r="M75" s="18"/>
      <c r="O75" s="18"/>
    </row>
    <row r="76" spans="1:15" s="1" customFormat="1" ht="34.5" customHeight="1">
      <c r="A76" s="22" t="s">
        <v>174</v>
      </c>
      <c r="B76" s="108">
        <v>146.44012499999999</v>
      </c>
      <c r="C76" s="112">
        <v>161.0841375</v>
      </c>
      <c r="D76" s="111">
        <f t="shared" si="4"/>
        <v>219.66018750000001</v>
      </c>
      <c r="E76" s="2"/>
      <c r="F76" s="2"/>
      <c r="G76" s="25"/>
      <c r="H76" s="5" t="s">
        <v>2</v>
      </c>
      <c r="I76" s="53">
        <v>0</v>
      </c>
      <c r="J76" s="54">
        <f t="shared" si="3"/>
        <v>0</v>
      </c>
      <c r="K76" s="30"/>
      <c r="L76" s="29"/>
      <c r="M76" s="18"/>
      <c r="O76" s="18"/>
    </row>
    <row r="77" spans="1:15" s="1" customFormat="1" ht="34.5" customHeight="1">
      <c r="A77" s="22" t="s">
        <v>175</v>
      </c>
      <c r="B77" s="108">
        <v>68.968574999999987</v>
      </c>
      <c r="C77" s="112">
        <v>75.865432499999983</v>
      </c>
      <c r="D77" s="111">
        <f t="shared" si="4"/>
        <v>103.45286249999998</v>
      </c>
      <c r="E77" s="2"/>
      <c r="F77" s="2"/>
      <c r="G77" s="25"/>
      <c r="H77" s="5" t="s">
        <v>2</v>
      </c>
      <c r="I77" s="53">
        <v>0</v>
      </c>
      <c r="J77" s="54">
        <f t="shared" si="3"/>
        <v>0</v>
      </c>
      <c r="K77" s="30"/>
      <c r="L77" s="29"/>
      <c r="M77" s="18"/>
      <c r="O77" s="18"/>
    </row>
    <row r="78" spans="1:15" s="1" customFormat="1" ht="34.5" customHeight="1">
      <c r="A78" s="22" t="s">
        <v>176</v>
      </c>
      <c r="B78" s="108">
        <v>3968.0549999999998</v>
      </c>
      <c r="C78" s="112">
        <v>4364.8604999999998</v>
      </c>
      <c r="D78" s="111">
        <f t="shared" si="4"/>
        <v>5952.0824999999995</v>
      </c>
      <c r="E78" s="2"/>
      <c r="F78" s="2"/>
      <c r="G78" s="25"/>
      <c r="H78" s="5" t="s">
        <v>2</v>
      </c>
      <c r="I78" s="53">
        <v>0</v>
      </c>
      <c r="J78" s="54">
        <f t="shared" si="3"/>
        <v>0</v>
      </c>
      <c r="K78" s="30"/>
      <c r="L78" s="29"/>
      <c r="M78" s="18"/>
      <c r="O78" s="18"/>
    </row>
    <row r="79" spans="1:15" s="1" customFormat="1" ht="34.5" customHeight="1">
      <c r="A79" s="22" t="s">
        <v>177</v>
      </c>
      <c r="B79" s="108">
        <v>4912.83</v>
      </c>
      <c r="C79" s="112">
        <v>5404.1130000000003</v>
      </c>
      <c r="D79" s="111">
        <f t="shared" si="4"/>
        <v>7369.2449999999999</v>
      </c>
      <c r="E79" s="2"/>
      <c r="F79" s="2"/>
      <c r="G79" s="25"/>
      <c r="H79" s="5" t="s">
        <v>2</v>
      </c>
      <c r="I79" s="53">
        <v>0</v>
      </c>
      <c r="J79" s="54">
        <f t="shared" si="3"/>
        <v>0</v>
      </c>
      <c r="K79" s="30"/>
      <c r="L79" s="29"/>
      <c r="M79" s="18"/>
      <c r="O79" s="18"/>
    </row>
    <row r="80" spans="1:15" s="1" customFormat="1" ht="34.5" customHeight="1">
      <c r="A80" s="22" t="s">
        <v>178</v>
      </c>
      <c r="B80" s="108">
        <v>5479.6949999999997</v>
      </c>
      <c r="C80" s="112">
        <v>6027.6644999999999</v>
      </c>
      <c r="D80" s="111">
        <f t="shared" si="4"/>
        <v>8219.5424999999996</v>
      </c>
      <c r="E80" s="2"/>
      <c r="F80" s="2"/>
      <c r="G80" s="25"/>
      <c r="H80" s="5" t="s">
        <v>2</v>
      </c>
      <c r="I80" s="53">
        <v>0</v>
      </c>
      <c r="J80" s="54">
        <f t="shared" si="3"/>
        <v>0</v>
      </c>
      <c r="K80" s="30"/>
      <c r="L80" s="29"/>
      <c r="M80" s="18"/>
      <c r="O80" s="18"/>
    </row>
    <row r="81" spans="1:15" s="1" customFormat="1" ht="34.5" customHeight="1">
      <c r="A81" s="22" t="s">
        <v>179</v>
      </c>
      <c r="B81" s="108">
        <v>1657.13535</v>
      </c>
      <c r="C81" s="112">
        <v>1822.8488850000001</v>
      </c>
      <c r="D81" s="111">
        <f t="shared" si="4"/>
        <v>2485.7030249999998</v>
      </c>
      <c r="E81" s="2"/>
      <c r="F81" s="2"/>
      <c r="G81" s="25"/>
      <c r="H81" s="5" t="s">
        <v>2</v>
      </c>
      <c r="I81" s="53">
        <v>0</v>
      </c>
      <c r="J81" s="54">
        <f t="shared" si="3"/>
        <v>0</v>
      </c>
      <c r="K81" s="30"/>
      <c r="L81" s="29"/>
      <c r="M81" s="18"/>
      <c r="O81" s="18"/>
    </row>
    <row r="82" spans="1:15" s="1" customFormat="1" ht="34.5" customHeight="1">
      <c r="A82" s="22" t="s">
        <v>180</v>
      </c>
      <c r="B82" s="108">
        <v>1657.13535</v>
      </c>
      <c r="C82" s="112">
        <v>1822.8488850000001</v>
      </c>
      <c r="D82" s="111">
        <f t="shared" si="4"/>
        <v>2485.7030249999998</v>
      </c>
      <c r="E82" s="2"/>
      <c r="F82" s="2"/>
      <c r="G82" s="25"/>
      <c r="H82" s="5" t="s">
        <v>2</v>
      </c>
      <c r="I82" s="53">
        <v>0</v>
      </c>
      <c r="J82" s="54">
        <f t="shared" si="3"/>
        <v>0</v>
      </c>
      <c r="K82" s="30"/>
      <c r="L82" s="29"/>
      <c r="M82" s="18"/>
      <c r="O82" s="18"/>
    </row>
    <row r="83" spans="1:15" s="1" customFormat="1" ht="34.5" customHeight="1">
      <c r="A83" s="22" t="s">
        <v>181</v>
      </c>
      <c r="B83" s="108">
        <v>1657.13535</v>
      </c>
      <c r="C83" s="112">
        <v>1822.8488850000001</v>
      </c>
      <c r="D83" s="111">
        <f t="shared" si="4"/>
        <v>2485.7030249999998</v>
      </c>
      <c r="E83" s="2"/>
      <c r="F83" s="2"/>
      <c r="G83" s="25"/>
      <c r="H83" s="5" t="s">
        <v>2</v>
      </c>
      <c r="I83" s="53">
        <v>0</v>
      </c>
      <c r="J83" s="54">
        <f t="shared" si="3"/>
        <v>0</v>
      </c>
      <c r="K83" s="30"/>
      <c r="L83" s="29"/>
      <c r="M83" s="18"/>
      <c r="O83" s="18"/>
    </row>
    <row r="84" spans="1:15" s="1" customFormat="1" ht="34.5" customHeight="1">
      <c r="A84" s="22" t="s">
        <v>182</v>
      </c>
      <c r="B84" s="108">
        <v>1921.6723499999998</v>
      </c>
      <c r="C84" s="112">
        <v>2113.8395849999997</v>
      </c>
      <c r="D84" s="111">
        <f t="shared" si="4"/>
        <v>2882.5085249999997</v>
      </c>
      <c r="E84" s="2"/>
      <c r="F84" s="2"/>
      <c r="G84" s="25"/>
      <c r="H84" s="5" t="s">
        <v>2</v>
      </c>
      <c r="I84" s="53">
        <v>0</v>
      </c>
      <c r="J84" s="54">
        <f t="shared" si="3"/>
        <v>0</v>
      </c>
      <c r="K84" s="30"/>
      <c r="L84" s="29"/>
      <c r="M84" s="18"/>
      <c r="O84" s="18"/>
    </row>
    <row r="85" spans="1:15" s="1" customFormat="1" ht="34.5" customHeight="1">
      <c r="A85" s="22" t="s">
        <v>183</v>
      </c>
      <c r="B85" s="108">
        <v>292.88024999999999</v>
      </c>
      <c r="C85" s="112">
        <v>322.16827499999999</v>
      </c>
      <c r="D85" s="111">
        <f t="shared" si="4"/>
        <v>439.32037500000001</v>
      </c>
      <c r="E85" s="2"/>
      <c r="F85" s="2"/>
      <c r="G85" s="25"/>
      <c r="H85" s="5" t="s">
        <v>2</v>
      </c>
      <c r="I85" s="53">
        <v>0</v>
      </c>
      <c r="J85" s="54">
        <f t="shared" si="3"/>
        <v>0</v>
      </c>
      <c r="K85" s="30"/>
      <c r="L85" s="29"/>
      <c r="M85" s="18"/>
      <c r="O85" s="18"/>
    </row>
    <row r="86" spans="1:15" s="1" customFormat="1" ht="34.5" customHeight="1">
      <c r="A86" s="22" t="s">
        <v>184</v>
      </c>
      <c r="B86" s="108">
        <v>887.14372500000002</v>
      </c>
      <c r="C86" s="112">
        <v>975.85809749999999</v>
      </c>
      <c r="D86" s="111">
        <f t="shared" si="4"/>
        <v>1330.7155875000001</v>
      </c>
      <c r="E86" s="2"/>
      <c r="F86" s="2"/>
      <c r="G86" s="25"/>
      <c r="H86" s="5" t="s">
        <v>2</v>
      </c>
      <c r="I86" s="53">
        <v>0</v>
      </c>
      <c r="J86" s="54">
        <f t="shared" si="3"/>
        <v>0</v>
      </c>
      <c r="K86" s="30"/>
      <c r="L86" s="29"/>
      <c r="M86" s="18"/>
      <c r="O86" s="18"/>
    </row>
    <row r="87" spans="1:15" s="1" customFormat="1" ht="34.5" customHeight="1">
      <c r="A87" s="22" t="s">
        <v>185</v>
      </c>
      <c r="B87" s="108">
        <v>956.1123</v>
      </c>
      <c r="C87" s="112">
        <v>1051.72353</v>
      </c>
      <c r="D87" s="111">
        <f t="shared" si="4"/>
        <v>1434.1684500000001</v>
      </c>
      <c r="E87" s="2"/>
      <c r="F87" s="2"/>
      <c r="G87" s="25"/>
      <c r="H87" s="5" t="s">
        <v>2</v>
      </c>
      <c r="I87" s="53">
        <v>0</v>
      </c>
      <c r="J87" s="54">
        <f t="shared" si="3"/>
        <v>0</v>
      </c>
      <c r="K87" s="30"/>
      <c r="L87" s="29"/>
      <c r="M87" s="18"/>
      <c r="O87" s="18"/>
    </row>
    <row r="88" spans="1:15" s="1" customFormat="1" ht="34.5" customHeight="1">
      <c r="A88" s="22" t="s">
        <v>186</v>
      </c>
      <c r="B88" s="108">
        <v>2573.5671000000002</v>
      </c>
      <c r="C88" s="112">
        <v>2830.9238100000002</v>
      </c>
      <c r="D88" s="111">
        <f t="shared" si="4"/>
        <v>3860.3506500000003</v>
      </c>
      <c r="E88" s="2"/>
      <c r="F88" s="2"/>
      <c r="G88" s="25"/>
      <c r="H88" s="5" t="s">
        <v>2</v>
      </c>
      <c r="I88" s="53">
        <v>0</v>
      </c>
      <c r="J88" s="54">
        <f t="shared" si="3"/>
        <v>0</v>
      </c>
      <c r="K88" s="30"/>
      <c r="L88" s="29"/>
      <c r="M88" s="18"/>
      <c r="O88" s="18"/>
    </row>
    <row r="89" spans="1:15" s="1" customFormat="1" ht="34.5" customHeight="1">
      <c r="A89" s="22" t="s">
        <v>187</v>
      </c>
      <c r="B89" s="108">
        <v>30.232799999999997</v>
      </c>
      <c r="C89" s="112">
        <v>33.256079999999997</v>
      </c>
      <c r="D89" s="111">
        <f t="shared" si="4"/>
        <v>45.349199999999996</v>
      </c>
      <c r="E89" s="2"/>
      <c r="F89" s="2"/>
      <c r="G89" s="25"/>
      <c r="H89" s="5" t="s">
        <v>2</v>
      </c>
      <c r="I89" s="53">
        <v>0</v>
      </c>
      <c r="J89" s="54">
        <f t="shared" si="3"/>
        <v>0</v>
      </c>
      <c r="K89" s="30"/>
      <c r="L89" s="29"/>
      <c r="M89" s="18"/>
      <c r="O89" s="18"/>
    </row>
    <row r="90" spans="1:15" s="1" customFormat="1" ht="34.5" customHeight="1">
      <c r="A90" s="22" t="s">
        <v>188</v>
      </c>
      <c r="B90" s="108">
        <v>86.919300000000007</v>
      </c>
      <c r="C90" s="112">
        <v>95.611230000000006</v>
      </c>
      <c r="D90" s="111">
        <f t="shared" si="4"/>
        <v>130.37895</v>
      </c>
      <c r="E90" s="2"/>
      <c r="F90" s="2"/>
      <c r="G90" s="25"/>
      <c r="H90" s="5" t="s">
        <v>2</v>
      </c>
      <c r="I90" s="53">
        <v>0</v>
      </c>
      <c r="J90" s="54">
        <f t="shared" si="3"/>
        <v>0</v>
      </c>
      <c r="K90" s="30"/>
      <c r="L90" s="29"/>
      <c r="M90" s="18"/>
      <c r="O90" s="18"/>
    </row>
    <row r="91" spans="1:15" s="1" customFormat="1" ht="34.5" customHeight="1">
      <c r="A91" s="22" t="s">
        <v>189</v>
      </c>
      <c r="B91" s="108">
        <v>31.177575000000001</v>
      </c>
      <c r="C91" s="112">
        <v>34.295332500000001</v>
      </c>
      <c r="D91" s="111">
        <f t="shared" si="4"/>
        <v>46.7663625</v>
      </c>
      <c r="E91" s="2"/>
      <c r="F91" s="2"/>
      <c r="G91" s="25"/>
      <c r="H91" s="5" t="s">
        <v>2</v>
      </c>
      <c r="I91" s="53">
        <v>0</v>
      </c>
      <c r="J91" s="54">
        <f t="shared" si="3"/>
        <v>0</v>
      </c>
      <c r="K91" s="30"/>
      <c r="L91" s="29"/>
      <c r="M91" s="18"/>
      <c r="O91" s="18"/>
    </row>
    <row r="92" spans="1:15" s="1" customFormat="1" ht="34.5" customHeight="1">
      <c r="A92" s="22" t="s">
        <v>190</v>
      </c>
      <c r="B92" s="108">
        <v>76.526775000000001</v>
      </c>
      <c r="C92" s="112">
        <v>84.179452499999996</v>
      </c>
      <c r="D92" s="111">
        <f t="shared" si="4"/>
        <v>114.79016250000001</v>
      </c>
      <c r="E92" s="2"/>
      <c r="F92" s="2"/>
      <c r="G92" s="25"/>
      <c r="H92" s="5" t="s">
        <v>2</v>
      </c>
      <c r="I92" s="53">
        <v>0</v>
      </c>
      <c r="J92" s="54">
        <f t="shared" si="3"/>
        <v>0</v>
      </c>
      <c r="K92" s="30"/>
      <c r="L92" s="29"/>
      <c r="M92" s="18"/>
      <c r="O92" s="18"/>
    </row>
    <row r="93" spans="1:15" s="1" customFormat="1" ht="34.5" customHeight="1">
      <c r="A93" s="22" t="s">
        <v>191</v>
      </c>
      <c r="B93" s="108">
        <v>83.140199999999993</v>
      </c>
      <c r="C93" s="112">
        <v>91.454219999999992</v>
      </c>
      <c r="D93" s="111">
        <f t="shared" si="4"/>
        <v>124.71029999999999</v>
      </c>
      <c r="E93" s="2"/>
      <c r="F93" s="2"/>
      <c r="G93" s="25"/>
      <c r="H93" s="5" t="s">
        <v>2</v>
      </c>
      <c r="I93" s="53">
        <v>0</v>
      </c>
      <c r="J93" s="54">
        <f t="shared" si="3"/>
        <v>0</v>
      </c>
      <c r="K93" s="30"/>
      <c r="L93" s="29"/>
      <c r="M93" s="18"/>
      <c r="O93" s="18"/>
    </row>
    <row r="94" spans="1:15" s="1" customFormat="1" ht="34.5" customHeight="1">
      <c r="A94" s="22" t="s">
        <v>192</v>
      </c>
      <c r="B94" s="108">
        <v>83.140199999999993</v>
      </c>
      <c r="C94" s="112">
        <v>91.454219999999992</v>
      </c>
      <c r="D94" s="111">
        <f t="shared" si="4"/>
        <v>124.71029999999999</v>
      </c>
      <c r="E94" s="2"/>
      <c r="F94" s="2"/>
      <c r="G94" s="25"/>
      <c r="H94" s="5" t="s">
        <v>2</v>
      </c>
      <c r="I94" s="53">
        <v>0</v>
      </c>
      <c r="J94" s="54">
        <f t="shared" si="3"/>
        <v>0</v>
      </c>
      <c r="K94" s="30"/>
      <c r="L94" s="29"/>
      <c r="M94" s="18"/>
      <c r="O94" s="18"/>
    </row>
    <row r="95" spans="1:15" s="1" customFormat="1" ht="34.5" customHeight="1">
      <c r="A95" s="22" t="s">
        <v>193</v>
      </c>
      <c r="B95" s="108">
        <v>224.85645</v>
      </c>
      <c r="C95" s="112">
        <v>247.342095</v>
      </c>
      <c r="D95" s="111">
        <f t="shared" si="4"/>
        <v>337.28467499999999</v>
      </c>
      <c r="E95" s="2"/>
      <c r="F95" s="2"/>
      <c r="G95" s="25"/>
      <c r="H95" s="5" t="s">
        <v>2</v>
      </c>
      <c r="I95" s="53">
        <v>0</v>
      </c>
      <c r="J95" s="54">
        <f t="shared" si="3"/>
        <v>0</v>
      </c>
      <c r="K95" s="30"/>
      <c r="L95" s="29"/>
      <c r="M95" s="18"/>
      <c r="O95" s="18"/>
    </row>
    <row r="96" spans="1:15" s="1" customFormat="1" ht="34.5" customHeight="1">
      <c r="A96" s="22" t="s">
        <v>194</v>
      </c>
      <c r="B96" s="108">
        <v>361.84882500000003</v>
      </c>
      <c r="C96" s="112">
        <v>398.03370750000005</v>
      </c>
      <c r="D96" s="111">
        <f t="shared" si="4"/>
        <v>542.77323750000005</v>
      </c>
      <c r="E96" s="2"/>
      <c r="F96" s="2"/>
      <c r="G96" s="25"/>
      <c r="H96" s="5" t="s">
        <v>2</v>
      </c>
      <c r="I96" s="53">
        <v>0</v>
      </c>
      <c r="J96" s="54">
        <f t="shared" si="3"/>
        <v>0</v>
      </c>
      <c r="K96" s="30"/>
      <c r="L96" s="29"/>
      <c r="M96" s="18"/>
      <c r="O96" s="18"/>
    </row>
    <row r="97" spans="1:15" s="1" customFormat="1" ht="34.5" customHeight="1">
      <c r="A97" s="22" t="s">
        <v>195</v>
      </c>
      <c r="B97" s="108">
        <v>361.84882500000003</v>
      </c>
      <c r="C97" s="112">
        <v>398.03370750000005</v>
      </c>
      <c r="D97" s="111">
        <f t="shared" si="4"/>
        <v>542.77323750000005</v>
      </c>
      <c r="E97" s="2"/>
      <c r="F97" s="2"/>
      <c r="G97" s="25"/>
      <c r="H97" s="5" t="s">
        <v>2</v>
      </c>
      <c r="I97" s="53">
        <v>0</v>
      </c>
      <c r="J97" s="54">
        <f t="shared" si="3"/>
        <v>0</v>
      </c>
      <c r="K97" s="30"/>
      <c r="L97" s="29"/>
      <c r="M97" s="18"/>
      <c r="O97" s="18"/>
    </row>
    <row r="98" spans="1:15" s="1" customFormat="1" ht="34.5" customHeight="1">
      <c r="A98" s="22" t="s">
        <v>196</v>
      </c>
      <c r="B98" s="108">
        <v>338.22945000000004</v>
      </c>
      <c r="C98" s="112">
        <v>372.05239500000005</v>
      </c>
      <c r="D98" s="111">
        <f t="shared" si="4"/>
        <v>507.34417500000006</v>
      </c>
      <c r="E98" s="2"/>
      <c r="F98" s="2"/>
      <c r="G98" s="25"/>
      <c r="H98" s="5" t="s">
        <v>2</v>
      </c>
      <c r="I98" s="53">
        <v>0</v>
      </c>
      <c r="J98" s="54">
        <f t="shared" si="3"/>
        <v>0</v>
      </c>
      <c r="K98" s="30"/>
      <c r="L98" s="29"/>
      <c r="M98" s="18"/>
      <c r="O98" s="18"/>
    </row>
    <row r="99" spans="1:15" s="1" customFormat="1" ht="34.5" customHeight="1">
      <c r="A99" s="22" t="s">
        <v>197</v>
      </c>
      <c r="B99" s="108">
        <v>338.22945000000004</v>
      </c>
      <c r="C99" s="112">
        <v>372.05239500000005</v>
      </c>
      <c r="D99" s="111">
        <f t="shared" si="4"/>
        <v>507.34417500000006</v>
      </c>
      <c r="E99" s="2"/>
      <c r="F99" s="2"/>
      <c r="G99" s="25"/>
      <c r="H99" s="5" t="s">
        <v>2</v>
      </c>
      <c r="I99" s="53">
        <v>0</v>
      </c>
      <c r="J99" s="54">
        <f t="shared" si="3"/>
        <v>0</v>
      </c>
      <c r="K99" s="30"/>
      <c r="L99" s="29"/>
      <c r="M99" s="18"/>
      <c r="O99" s="18"/>
    </row>
    <row r="100" spans="1:15" s="1" customFormat="1" ht="34.5" customHeight="1">
      <c r="A100" s="22" t="s">
        <v>198</v>
      </c>
      <c r="B100" s="108">
        <v>923.98995000000002</v>
      </c>
      <c r="C100" s="112">
        <v>1016.388945</v>
      </c>
      <c r="D100" s="111">
        <f t="shared" si="4"/>
        <v>1385.984925</v>
      </c>
      <c r="E100" s="2"/>
      <c r="F100" s="2"/>
      <c r="G100" s="25"/>
      <c r="H100" s="5" t="s">
        <v>2</v>
      </c>
      <c r="I100" s="53">
        <v>0</v>
      </c>
      <c r="J100" s="54">
        <f t="shared" si="3"/>
        <v>0</v>
      </c>
      <c r="K100" s="30"/>
      <c r="L100" s="29"/>
      <c r="M100" s="18"/>
      <c r="O100" s="18"/>
    </row>
    <row r="101" spans="1:15" s="1" customFormat="1" ht="34.5" customHeight="1">
      <c r="A101" s="22" t="s">
        <v>199</v>
      </c>
      <c r="B101" s="108">
        <v>883.36462500000005</v>
      </c>
      <c r="C101" s="112">
        <v>971.70108750000009</v>
      </c>
      <c r="D101" s="111">
        <f t="shared" si="4"/>
        <v>1325.0469375</v>
      </c>
      <c r="E101" s="2"/>
      <c r="F101" s="2"/>
      <c r="G101" s="25"/>
      <c r="H101" s="5" t="s">
        <v>2</v>
      </c>
      <c r="I101" s="53">
        <v>0</v>
      </c>
      <c r="J101" s="54">
        <f t="shared" si="3"/>
        <v>0</v>
      </c>
      <c r="K101" s="30"/>
      <c r="L101" s="29"/>
      <c r="M101" s="18"/>
      <c r="O101" s="18"/>
    </row>
    <row r="102" spans="1:15" s="1" customFormat="1" ht="34.5" customHeight="1">
      <c r="A102" s="22" t="s">
        <v>200</v>
      </c>
      <c r="B102" s="108">
        <v>981.62122499999998</v>
      </c>
      <c r="C102" s="112">
        <v>1079.7833475</v>
      </c>
      <c r="D102" s="111">
        <f t="shared" si="4"/>
        <v>1472.4318375</v>
      </c>
      <c r="E102" s="2"/>
      <c r="F102" s="2"/>
      <c r="G102" s="25"/>
      <c r="H102" s="5" t="s">
        <v>2</v>
      </c>
      <c r="I102" s="53">
        <v>0</v>
      </c>
      <c r="J102" s="54">
        <f t="shared" si="3"/>
        <v>0</v>
      </c>
      <c r="K102" s="30"/>
      <c r="L102" s="29"/>
      <c r="M102" s="18"/>
      <c r="O102" s="18"/>
    </row>
    <row r="103" spans="1:15" s="1" customFormat="1" ht="34.5" customHeight="1">
      <c r="A103" s="22" t="s">
        <v>201</v>
      </c>
      <c r="B103" s="108">
        <v>1033.58385</v>
      </c>
      <c r="C103" s="112">
        <v>1136.942235</v>
      </c>
      <c r="D103" s="111">
        <f t="shared" si="4"/>
        <v>1550.375775</v>
      </c>
      <c r="E103" s="2"/>
      <c r="F103" s="2"/>
      <c r="G103" s="25"/>
      <c r="H103" s="5" t="s">
        <v>2</v>
      </c>
      <c r="I103" s="53">
        <v>0</v>
      </c>
      <c r="J103" s="54">
        <f t="shared" si="3"/>
        <v>0</v>
      </c>
      <c r="K103" s="30"/>
      <c r="L103" s="29"/>
      <c r="M103" s="18"/>
      <c r="O103" s="18"/>
    </row>
    <row r="104" spans="1:15" s="1" customFormat="1" ht="34.5" customHeight="1">
      <c r="A104" s="22" t="s">
        <v>202</v>
      </c>
      <c r="B104" s="108">
        <v>1033.58385</v>
      </c>
      <c r="C104" s="112">
        <v>1136.942235</v>
      </c>
      <c r="D104" s="111">
        <f t="shared" si="4"/>
        <v>1550.375775</v>
      </c>
      <c r="E104" s="2"/>
      <c r="F104" s="2"/>
      <c r="G104" s="25"/>
      <c r="H104" s="5" t="s">
        <v>2</v>
      </c>
      <c r="I104" s="53">
        <v>0</v>
      </c>
      <c r="J104" s="54">
        <f t="shared" si="3"/>
        <v>0</v>
      </c>
      <c r="K104" s="30"/>
      <c r="L104" s="29"/>
      <c r="M104" s="18"/>
      <c r="O104" s="18"/>
    </row>
    <row r="105" spans="1:15" s="1" customFormat="1" ht="34.5" customHeight="1">
      <c r="A105" s="22" t="s">
        <v>203</v>
      </c>
      <c r="B105" s="108">
        <v>2824.87725</v>
      </c>
      <c r="C105" s="112">
        <v>3107.364975</v>
      </c>
      <c r="D105" s="111">
        <f t="shared" si="4"/>
        <v>4237.3158750000002</v>
      </c>
      <c r="E105" s="2"/>
      <c r="F105" s="2"/>
      <c r="G105" s="25"/>
      <c r="H105" s="5" t="s">
        <v>2</v>
      </c>
      <c r="I105" s="53">
        <v>0</v>
      </c>
      <c r="J105" s="54">
        <f t="shared" si="3"/>
        <v>0</v>
      </c>
      <c r="K105" s="30"/>
      <c r="L105" s="29"/>
      <c r="M105" s="18"/>
      <c r="O105" s="18"/>
    </row>
    <row r="106" spans="1:15" s="1" customFormat="1" ht="34.5" customHeight="1">
      <c r="A106" s="22" t="s">
        <v>204</v>
      </c>
      <c r="B106" s="108">
        <v>2824.87725</v>
      </c>
      <c r="C106" s="112">
        <v>3107.364975</v>
      </c>
      <c r="D106" s="111">
        <f t="shared" si="4"/>
        <v>4237.3158750000002</v>
      </c>
      <c r="E106" s="2"/>
      <c r="F106" s="2"/>
      <c r="G106" s="25"/>
      <c r="H106" s="5" t="s">
        <v>2</v>
      </c>
      <c r="I106" s="53">
        <v>0</v>
      </c>
      <c r="J106" s="54">
        <f t="shared" si="3"/>
        <v>0</v>
      </c>
      <c r="K106" s="30"/>
      <c r="L106" s="29"/>
      <c r="M106" s="18"/>
      <c r="O106" s="18"/>
    </row>
    <row r="107" spans="1:15" s="1" customFormat="1" ht="34.5" customHeight="1">
      <c r="A107" s="22" t="s">
        <v>205</v>
      </c>
      <c r="B107" s="108">
        <v>2824.87725</v>
      </c>
      <c r="C107" s="112">
        <v>3107.364975</v>
      </c>
      <c r="D107" s="111">
        <f t="shared" si="4"/>
        <v>4237.3158750000002</v>
      </c>
      <c r="E107" s="2"/>
      <c r="F107" s="2"/>
      <c r="G107" s="25"/>
      <c r="H107" s="5" t="s">
        <v>2</v>
      </c>
      <c r="I107" s="53">
        <v>0</v>
      </c>
      <c r="J107" s="54">
        <f t="shared" si="3"/>
        <v>0</v>
      </c>
      <c r="K107" s="30"/>
      <c r="L107" s="29"/>
      <c r="M107" s="18"/>
      <c r="O107" s="18"/>
    </row>
    <row r="108" spans="1:15" s="1" customFormat="1" ht="34.5" customHeight="1">
      <c r="A108" s="22" t="s">
        <v>206</v>
      </c>
      <c r="B108" s="108">
        <v>1124.28225</v>
      </c>
      <c r="C108" s="112">
        <v>1236.7104749999999</v>
      </c>
      <c r="D108" s="111">
        <f t="shared" si="4"/>
        <v>1686.4233749999999</v>
      </c>
      <c r="E108" s="2"/>
      <c r="F108" s="2"/>
      <c r="G108" s="25"/>
      <c r="H108" s="5" t="s">
        <v>2</v>
      </c>
      <c r="I108" s="53">
        <v>0</v>
      </c>
      <c r="J108" s="54">
        <f t="shared" si="3"/>
        <v>0</v>
      </c>
      <c r="K108" s="30"/>
      <c r="L108" s="29"/>
      <c r="M108" s="18"/>
      <c r="O108" s="18"/>
    </row>
    <row r="109" spans="1:15" s="1" customFormat="1" ht="34.5" customHeight="1">
      <c r="A109" s="22" t="s">
        <v>207</v>
      </c>
      <c r="B109" s="108">
        <v>683.07232500000009</v>
      </c>
      <c r="C109" s="112">
        <v>751.37955750000015</v>
      </c>
      <c r="D109" s="111">
        <f t="shared" si="4"/>
        <v>1024.6084875000001</v>
      </c>
      <c r="E109" s="2"/>
      <c r="F109" s="2"/>
      <c r="G109" s="25"/>
      <c r="H109" s="5" t="s">
        <v>2</v>
      </c>
      <c r="I109" s="53">
        <v>0</v>
      </c>
      <c r="J109" s="54">
        <f t="shared" si="3"/>
        <v>0</v>
      </c>
      <c r="K109" s="30"/>
      <c r="L109" s="29"/>
      <c r="M109" s="18"/>
      <c r="O109" s="18"/>
    </row>
    <row r="110" spans="1:15" s="1" customFormat="1" ht="34.5" customHeight="1">
      <c r="A110" s="22" t="s">
        <v>208</v>
      </c>
      <c r="B110" s="108">
        <v>602.76644999999996</v>
      </c>
      <c r="C110" s="112">
        <v>663.04309499999999</v>
      </c>
      <c r="D110" s="111">
        <f t="shared" si="4"/>
        <v>904.14967499999989</v>
      </c>
      <c r="E110" s="2"/>
      <c r="F110" s="2"/>
      <c r="G110" s="25"/>
      <c r="H110" s="5" t="s">
        <v>2</v>
      </c>
      <c r="I110" s="53">
        <v>0</v>
      </c>
      <c r="J110" s="54">
        <f t="shared" si="3"/>
        <v>0</v>
      </c>
      <c r="K110" s="30"/>
      <c r="L110" s="29"/>
      <c r="M110" s="18"/>
      <c r="O110" s="18"/>
    </row>
    <row r="111" spans="1:15" s="1" customFormat="1" ht="34.5" customHeight="1">
      <c r="A111" s="22" t="s">
        <v>209</v>
      </c>
      <c r="B111" s="108">
        <v>562.14112499999999</v>
      </c>
      <c r="C111" s="112">
        <v>618.35523749999993</v>
      </c>
      <c r="D111" s="111">
        <f t="shared" si="4"/>
        <v>843.21168749999993</v>
      </c>
      <c r="E111" s="2"/>
      <c r="F111" s="2"/>
      <c r="G111" s="25"/>
      <c r="H111" s="5" t="s">
        <v>2</v>
      </c>
      <c r="I111" s="53">
        <v>0</v>
      </c>
      <c r="J111" s="54">
        <f t="shared" si="3"/>
        <v>0</v>
      </c>
      <c r="K111" s="30"/>
      <c r="L111" s="29"/>
      <c r="M111" s="18"/>
      <c r="O111" s="18"/>
    </row>
    <row r="112" spans="1:15" s="1" customFormat="1" ht="34.5" customHeight="1">
      <c r="A112" s="22" t="s">
        <v>210</v>
      </c>
      <c r="B112" s="108">
        <v>722.7528749999999</v>
      </c>
      <c r="C112" s="112">
        <v>795.02816249999989</v>
      </c>
      <c r="D112" s="111">
        <f t="shared" si="4"/>
        <v>1084.1293124999997</v>
      </c>
      <c r="E112" s="2"/>
      <c r="F112" s="2"/>
      <c r="G112" s="25"/>
      <c r="H112" s="5" t="s">
        <v>2</v>
      </c>
      <c r="I112" s="53">
        <v>0</v>
      </c>
      <c r="J112" s="54">
        <f t="shared" si="3"/>
        <v>0</v>
      </c>
      <c r="K112" s="30"/>
      <c r="L112" s="29"/>
      <c r="M112" s="18"/>
      <c r="O112" s="18"/>
    </row>
    <row r="113" spans="1:15" s="1" customFormat="1" ht="34.5" customHeight="1">
      <c r="A113" s="22" t="s">
        <v>211</v>
      </c>
      <c r="B113" s="108">
        <v>359.0145</v>
      </c>
      <c r="C113" s="112">
        <v>394.91595000000001</v>
      </c>
      <c r="D113" s="111">
        <f t="shared" si="4"/>
        <v>538.52175</v>
      </c>
      <c r="E113" s="2"/>
      <c r="F113" s="2"/>
      <c r="G113" s="25"/>
      <c r="H113" s="5" t="s">
        <v>2</v>
      </c>
      <c r="I113" s="53">
        <v>0</v>
      </c>
      <c r="J113" s="54">
        <f t="shared" si="3"/>
        <v>0</v>
      </c>
      <c r="K113" s="30"/>
      <c r="L113" s="29"/>
      <c r="M113" s="18"/>
      <c r="O113" s="18"/>
    </row>
    <row r="114" spans="1:15" s="1" customFormat="1" ht="34.5" customHeight="1">
      <c r="A114" s="22" t="s">
        <v>212</v>
      </c>
      <c r="B114" s="108">
        <v>79.361099999999993</v>
      </c>
      <c r="C114" s="112">
        <v>87.297209999999993</v>
      </c>
      <c r="D114" s="111">
        <f t="shared" si="4"/>
        <v>119.04164999999999</v>
      </c>
      <c r="E114" s="2"/>
      <c r="F114" s="2"/>
      <c r="G114" s="25"/>
      <c r="H114" s="5" t="s">
        <v>2</v>
      </c>
      <c r="I114" s="53">
        <v>0</v>
      </c>
      <c r="J114" s="54">
        <f t="shared" si="3"/>
        <v>0</v>
      </c>
      <c r="K114" s="30"/>
      <c r="L114" s="29"/>
      <c r="M114" s="18"/>
      <c r="O114" s="18"/>
    </row>
    <row r="115" spans="1:15" s="1" customFormat="1" ht="34.5" customHeight="1">
      <c r="A115" s="22" t="s">
        <v>213</v>
      </c>
      <c r="B115" s="108">
        <v>525.29489999999998</v>
      </c>
      <c r="C115" s="112">
        <v>577.82438999999999</v>
      </c>
      <c r="D115" s="111">
        <f t="shared" si="4"/>
        <v>787.94235000000003</v>
      </c>
      <c r="E115" s="2"/>
      <c r="F115" s="2"/>
      <c r="G115" s="25"/>
      <c r="H115" s="5" t="s">
        <v>2</v>
      </c>
      <c r="I115" s="53">
        <v>0</v>
      </c>
      <c r="J115" s="54">
        <f t="shared" si="3"/>
        <v>0</v>
      </c>
      <c r="K115" s="30"/>
      <c r="L115" s="29"/>
      <c r="M115" s="18"/>
      <c r="O115" s="18"/>
    </row>
    <row r="116" spans="1:15" s="1" customFormat="1" ht="34.5" customHeight="1">
      <c r="A116" s="22" t="s">
        <v>214</v>
      </c>
      <c r="B116" s="108">
        <v>94.477500000000006</v>
      </c>
      <c r="C116" s="112">
        <v>103.92525000000001</v>
      </c>
      <c r="D116" s="111">
        <f t="shared" si="4"/>
        <v>141.71625</v>
      </c>
      <c r="E116" s="2"/>
      <c r="F116" s="2"/>
      <c r="G116" s="25"/>
      <c r="H116" s="5" t="s">
        <v>2</v>
      </c>
      <c r="I116" s="53">
        <v>0</v>
      </c>
      <c r="J116" s="54">
        <f t="shared" si="3"/>
        <v>0</v>
      </c>
      <c r="K116" s="30"/>
      <c r="L116" s="29"/>
      <c r="M116" s="18"/>
      <c r="O116" s="18"/>
    </row>
    <row r="117" spans="1:15" s="1" customFormat="1" ht="34.5" customHeight="1">
      <c r="A117" s="22" t="s">
        <v>215</v>
      </c>
      <c r="B117" s="108">
        <v>368.46225000000004</v>
      </c>
      <c r="C117" s="112">
        <v>405.30847500000004</v>
      </c>
      <c r="D117" s="111">
        <f t="shared" si="4"/>
        <v>552.69337500000006</v>
      </c>
      <c r="E117" s="2"/>
      <c r="F117" s="2"/>
      <c r="G117" s="25"/>
      <c r="H117" s="5" t="s">
        <v>2</v>
      </c>
      <c r="I117" s="53">
        <v>0</v>
      </c>
      <c r="J117" s="54">
        <f t="shared" si="3"/>
        <v>0</v>
      </c>
      <c r="K117" s="30"/>
      <c r="L117" s="29"/>
      <c r="M117" s="18"/>
      <c r="O117" s="18"/>
    </row>
    <row r="118" spans="1:15" s="1" customFormat="1" ht="34.5" customHeight="1">
      <c r="A118" s="22" t="s">
        <v>216</v>
      </c>
      <c r="B118" s="108">
        <v>167.22517499999998</v>
      </c>
      <c r="C118" s="112">
        <v>183.94769249999999</v>
      </c>
      <c r="D118" s="111">
        <f t="shared" si="4"/>
        <v>250.83776249999997</v>
      </c>
      <c r="E118" s="2"/>
      <c r="F118" s="2"/>
      <c r="G118" s="25"/>
      <c r="H118" s="5" t="s">
        <v>2</v>
      </c>
      <c r="I118" s="53">
        <v>0</v>
      </c>
      <c r="J118" s="54">
        <f t="shared" si="3"/>
        <v>0</v>
      </c>
      <c r="K118" s="30"/>
      <c r="L118" s="29"/>
      <c r="M118" s="18"/>
      <c r="O118" s="18"/>
    </row>
    <row r="119" spans="1:15" s="1" customFormat="1" ht="34.5" customHeight="1">
      <c r="A119" s="22" t="s">
        <v>217</v>
      </c>
      <c r="B119" s="108">
        <v>64.244699999999995</v>
      </c>
      <c r="C119" s="112">
        <v>70.669169999999994</v>
      </c>
      <c r="D119" s="111">
        <f t="shared" si="4"/>
        <v>96.367049999999992</v>
      </c>
      <c r="E119" s="2"/>
      <c r="F119" s="2"/>
      <c r="G119" s="25"/>
      <c r="H119" s="5" t="s">
        <v>2</v>
      </c>
      <c r="I119" s="53">
        <v>0</v>
      </c>
      <c r="J119" s="54">
        <f t="shared" si="3"/>
        <v>0</v>
      </c>
      <c r="K119" s="30"/>
      <c r="L119" s="29"/>
      <c r="M119" s="18"/>
      <c r="O119" s="18"/>
    </row>
    <row r="120" spans="1:15" s="1" customFormat="1" ht="34.5" customHeight="1">
      <c r="A120" s="22" t="s">
        <v>218</v>
      </c>
      <c r="B120" s="108">
        <v>120.93119999999999</v>
      </c>
      <c r="C120" s="112">
        <v>133.02431999999999</v>
      </c>
      <c r="D120" s="111">
        <f t="shared" si="4"/>
        <v>181.39679999999998</v>
      </c>
      <c r="E120" s="2"/>
      <c r="F120" s="2"/>
      <c r="G120" s="25"/>
      <c r="H120" s="5" t="s">
        <v>2</v>
      </c>
      <c r="I120" s="53">
        <v>0</v>
      </c>
      <c r="J120" s="54">
        <f t="shared" si="3"/>
        <v>0</v>
      </c>
      <c r="K120" s="30"/>
      <c r="L120" s="29"/>
      <c r="M120" s="18"/>
      <c r="O120" s="18"/>
    </row>
    <row r="121" spans="1:15" s="1" customFormat="1" ht="34.5" customHeight="1">
      <c r="A121" s="22" t="s">
        <v>219</v>
      </c>
      <c r="B121" s="108">
        <v>201.237075</v>
      </c>
      <c r="C121" s="112">
        <v>221.3607825</v>
      </c>
      <c r="D121" s="111">
        <f t="shared" si="4"/>
        <v>301.85561250000001</v>
      </c>
      <c r="E121" s="2"/>
      <c r="F121" s="2"/>
      <c r="G121" s="25"/>
      <c r="H121" s="5" t="s">
        <v>2</v>
      </c>
      <c r="I121" s="53">
        <v>0</v>
      </c>
      <c r="J121" s="54">
        <f t="shared" si="3"/>
        <v>0</v>
      </c>
      <c r="K121" s="30"/>
      <c r="L121" s="29"/>
      <c r="M121" s="18"/>
      <c r="O121" s="18"/>
    </row>
    <row r="122" spans="1:15" s="1" customFormat="1" ht="34.5" customHeight="1">
      <c r="A122" s="22" t="s">
        <v>220</v>
      </c>
      <c r="B122" s="108">
        <v>64.244699999999995</v>
      </c>
      <c r="C122" s="112">
        <v>70.669169999999994</v>
      </c>
      <c r="D122" s="111">
        <f t="shared" si="4"/>
        <v>96.367049999999992</v>
      </c>
      <c r="E122" s="2"/>
      <c r="F122" s="2"/>
      <c r="G122" s="25"/>
      <c r="H122" s="5" t="s">
        <v>2</v>
      </c>
      <c r="I122" s="53">
        <v>0</v>
      </c>
      <c r="J122" s="54">
        <f t="shared" si="3"/>
        <v>0</v>
      </c>
      <c r="K122" s="30"/>
      <c r="L122" s="29"/>
      <c r="M122" s="18"/>
      <c r="O122" s="18"/>
    </row>
    <row r="123" spans="1:15" s="1" customFormat="1" ht="34.5" customHeight="1">
      <c r="A123" s="22" t="s">
        <v>221</v>
      </c>
      <c r="B123" s="108">
        <v>321.2235</v>
      </c>
      <c r="C123" s="112">
        <v>353.34584999999998</v>
      </c>
      <c r="D123" s="111">
        <f t="shared" si="4"/>
        <v>481.83524999999997</v>
      </c>
      <c r="E123" s="2"/>
      <c r="F123" s="2"/>
      <c r="G123" s="25"/>
      <c r="H123" s="5" t="s">
        <v>2</v>
      </c>
      <c r="I123" s="53">
        <v>0</v>
      </c>
      <c r="J123" s="54">
        <f t="shared" si="3"/>
        <v>0</v>
      </c>
      <c r="K123" s="30"/>
      <c r="L123" s="29"/>
      <c r="M123" s="18"/>
      <c r="O123" s="18"/>
    </row>
    <row r="124" spans="1:15" s="1" customFormat="1" ht="34.5" customHeight="1">
      <c r="A124" s="22" t="s">
        <v>222</v>
      </c>
      <c r="B124" s="108">
        <v>120.93119999999999</v>
      </c>
      <c r="C124" s="112">
        <v>133.02431999999999</v>
      </c>
      <c r="D124" s="111">
        <f t="shared" si="4"/>
        <v>181.39679999999998</v>
      </c>
      <c r="E124" s="2"/>
      <c r="F124" s="2"/>
      <c r="G124" s="25"/>
      <c r="H124" s="5" t="s">
        <v>2</v>
      </c>
      <c r="I124" s="53">
        <v>0</v>
      </c>
      <c r="J124" s="54">
        <f t="shared" si="3"/>
        <v>0</v>
      </c>
      <c r="K124" s="30"/>
      <c r="L124" s="29"/>
      <c r="M124" s="18"/>
      <c r="O124" s="18"/>
    </row>
    <row r="125" spans="1:15" s="1" customFormat="1" ht="34.5" customHeight="1">
      <c r="A125" s="22" t="s">
        <v>223</v>
      </c>
      <c r="B125" s="108">
        <v>281.54295000000002</v>
      </c>
      <c r="C125" s="112">
        <v>309.69724500000001</v>
      </c>
      <c r="D125" s="111">
        <f t="shared" si="4"/>
        <v>422.31442500000003</v>
      </c>
      <c r="E125" s="2"/>
      <c r="F125" s="2"/>
      <c r="G125" s="25"/>
      <c r="H125" s="5" t="s">
        <v>2</v>
      </c>
      <c r="I125" s="53">
        <v>0</v>
      </c>
      <c r="J125" s="54">
        <f t="shared" si="3"/>
        <v>0</v>
      </c>
      <c r="K125" s="30"/>
      <c r="L125" s="29"/>
      <c r="M125" s="18"/>
      <c r="O125" s="18"/>
    </row>
    <row r="126" spans="1:15" s="1" customFormat="1" ht="34.5" customHeight="1">
      <c r="A126" s="22" t="s">
        <v>224</v>
      </c>
      <c r="B126" s="108">
        <v>361.84882500000003</v>
      </c>
      <c r="C126" s="112">
        <v>398.03370750000005</v>
      </c>
      <c r="D126" s="111">
        <f t="shared" si="4"/>
        <v>542.77323750000005</v>
      </c>
      <c r="E126" s="2"/>
      <c r="F126" s="2"/>
      <c r="G126" s="25"/>
      <c r="H126" s="5" t="s">
        <v>2</v>
      </c>
      <c r="I126" s="53">
        <v>0</v>
      </c>
      <c r="J126" s="54">
        <f t="shared" si="3"/>
        <v>0</v>
      </c>
      <c r="K126" s="30"/>
      <c r="L126" s="29"/>
      <c r="M126" s="18"/>
      <c r="O126" s="18"/>
    </row>
    <row r="127" spans="1:15" s="1" customFormat="1" ht="34.5" customHeight="1">
      <c r="A127" s="22" t="s">
        <v>225</v>
      </c>
      <c r="B127" s="108">
        <v>120.93119999999999</v>
      </c>
      <c r="C127" s="112">
        <v>133.02431999999999</v>
      </c>
      <c r="D127" s="111">
        <f t="shared" si="4"/>
        <v>181.39679999999998</v>
      </c>
      <c r="E127" s="2"/>
      <c r="F127" s="2"/>
      <c r="G127" s="25"/>
      <c r="H127" s="5" t="s">
        <v>2</v>
      </c>
      <c r="I127" s="53">
        <v>0</v>
      </c>
      <c r="J127" s="54">
        <f t="shared" si="3"/>
        <v>0</v>
      </c>
      <c r="K127" s="30"/>
      <c r="L127" s="29"/>
      <c r="M127" s="18"/>
      <c r="O127" s="18"/>
    </row>
    <row r="128" spans="1:15" s="1" customFormat="1" ht="34.5" customHeight="1">
      <c r="A128" s="22" t="s">
        <v>226</v>
      </c>
      <c r="B128" s="108">
        <v>455.38155</v>
      </c>
      <c r="C128" s="112">
        <v>500.91970500000002</v>
      </c>
      <c r="D128" s="111">
        <f t="shared" si="4"/>
        <v>683.07232499999998</v>
      </c>
      <c r="E128" s="2"/>
      <c r="F128" s="2"/>
      <c r="G128" s="25"/>
      <c r="H128" s="5" t="s">
        <v>2</v>
      </c>
      <c r="I128" s="53">
        <v>0</v>
      </c>
      <c r="J128" s="54">
        <f t="shared" si="3"/>
        <v>0</v>
      </c>
      <c r="K128" s="30"/>
      <c r="L128" s="29"/>
      <c r="M128" s="18"/>
      <c r="O128" s="18"/>
    </row>
    <row r="129" spans="1:15" s="1" customFormat="1" ht="34.5" customHeight="1">
      <c r="A129" s="22" t="s">
        <v>227</v>
      </c>
      <c r="B129" s="108">
        <v>455.38155</v>
      </c>
      <c r="C129" s="112">
        <v>500.91970500000002</v>
      </c>
      <c r="D129" s="111">
        <f t="shared" si="4"/>
        <v>683.07232499999998</v>
      </c>
      <c r="E129" s="2"/>
      <c r="F129" s="2"/>
      <c r="G129" s="25"/>
      <c r="H129" s="5" t="s">
        <v>2</v>
      </c>
      <c r="I129" s="53">
        <v>0</v>
      </c>
      <c r="J129" s="54">
        <f t="shared" si="3"/>
        <v>0</v>
      </c>
      <c r="K129" s="30"/>
      <c r="L129" s="29"/>
      <c r="M129" s="18"/>
      <c r="O129" s="18"/>
    </row>
    <row r="130" spans="1:15" s="1" customFormat="1" ht="34.5" customHeight="1">
      <c r="A130" s="22" t="s">
        <v>228</v>
      </c>
      <c r="B130" s="108">
        <v>455.38155</v>
      </c>
      <c r="C130" s="112">
        <v>500.91970500000002</v>
      </c>
      <c r="D130" s="111">
        <f t="shared" si="4"/>
        <v>683.07232499999998</v>
      </c>
      <c r="E130" s="2"/>
      <c r="F130" s="2"/>
      <c r="G130" s="25"/>
      <c r="H130" s="5" t="s">
        <v>2</v>
      </c>
      <c r="I130" s="53">
        <v>0</v>
      </c>
      <c r="J130" s="54">
        <f t="shared" si="3"/>
        <v>0</v>
      </c>
      <c r="K130" s="30"/>
      <c r="L130" s="29"/>
      <c r="M130" s="18"/>
      <c r="O130" s="18"/>
    </row>
    <row r="131" spans="1:15" s="1" customFormat="1" ht="34.5" customHeight="1">
      <c r="A131" s="22" t="s">
        <v>229</v>
      </c>
      <c r="B131" s="108">
        <v>264.53700000000003</v>
      </c>
      <c r="C131" s="112">
        <v>290.99070000000006</v>
      </c>
      <c r="D131" s="111">
        <f t="shared" si="4"/>
        <v>396.80550000000005</v>
      </c>
      <c r="E131" s="2"/>
      <c r="F131" s="2"/>
      <c r="G131" s="25"/>
      <c r="H131" s="5" t="s">
        <v>2</v>
      </c>
      <c r="I131" s="53">
        <v>0</v>
      </c>
      <c r="J131" s="54">
        <f t="shared" si="3"/>
        <v>0</v>
      </c>
      <c r="K131" s="30"/>
      <c r="L131" s="29"/>
      <c r="M131" s="18"/>
      <c r="O131" s="18"/>
    </row>
    <row r="132" spans="1:15" s="1" customFormat="1" ht="34.5" customHeight="1">
      <c r="A132" s="22" t="s">
        <v>230</v>
      </c>
      <c r="B132" s="108">
        <v>272.09520000000003</v>
      </c>
      <c r="C132" s="112">
        <v>299.30472000000003</v>
      </c>
      <c r="D132" s="111">
        <f t="shared" si="4"/>
        <v>408.14280000000008</v>
      </c>
      <c r="E132" s="2"/>
      <c r="F132" s="2"/>
      <c r="G132" s="25"/>
      <c r="H132" s="5" t="s">
        <v>2</v>
      </c>
      <c r="I132" s="53">
        <v>0</v>
      </c>
      <c r="J132" s="54">
        <f t="shared" ref="J132:J150" si="5">B132*I132</f>
        <v>0</v>
      </c>
      <c r="K132" s="30"/>
      <c r="L132" s="29"/>
      <c r="M132" s="18"/>
      <c r="O132" s="18"/>
    </row>
    <row r="133" spans="1:15" s="1" customFormat="1" ht="34.5" customHeight="1">
      <c r="A133" s="22" t="s">
        <v>231</v>
      </c>
      <c r="B133" s="108">
        <v>267.37132500000001</v>
      </c>
      <c r="C133" s="112">
        <v>294.10845749999999</v>
      </c>
      <c r="D133" s="111">
        <f t="shared" ref="D133:D150" si="6">B133*1.5</f>
        <v>401.05698749999999</v>
      </c>
      <c r="E133" s="2"/>
      <c r="F133" s="2"/>
      <c r="G133" s="25"/>
      <c r="H133" s="5" t="s">
        <v>2</v>
      </c>
      <c r="I133" s="53">
        <v>0</v>
      </c>
      <c r="J133" s="54">
        <f t="shared" si="5"/>
        <v>0</v>
      </c>
      <c r="K133" s="30"/>
      <c r="L133" s="29"/>
      <c r="M133" s="18"/>
      <c r="O133" s="18"/>
    </row>
    <row r="134" spans="1:15" s="1" customFormat="1" ht="34.5" customHeight="1">
      <c r="A134" s="22" t="s">
        <v>232</v>
      </c>
      <c r="B134" s="108">
        <v>224.85645</v>
      </c>
      <c r="C134" s="112">
        <v>247.342095</v>
      </c>
      <c r="D134" s="111">
        <f t="shared" si="6"/>
        <v>337.28467499999999</v>
      </c>
      <c r="E134" s="2"/>
      <c r="F134" s="2"/>
      <c r="G134" s="25"/>
      <c r="H134" s="5" t="s">
        <v>2</v>
      </c>
      <c r="I134" s="53">
        <v>0</v>
      </c>
      <c r="J134" s="54">
        <f t="shared" si="5"/>
        <v>0</v>
      </c>
      <c r="K134" s="30"/>
      <c r="L134" s="29"/>
      <c r="M134" s="18"/>
      <c r="O134" s="18"/>
    </row>
    <row r="135" spans="1:15" s="1" customFormat="1" ht="34.5" customHeight="1">
      <c r="A135" s="22" t="s">
        <v>233</v>
      </c>
      <c r="B135" s="108">
        <v>594.26347499999997</v>
      </c>
      <c r="C135" s="112">
        <v>653.68982249999999</v>
      </c>
      <c r="D135" s="111">
        <f t="shared" si="6"/>
        <v>891.39521249999996</v>
      </c>
      <c r="E135" s="2"/>
      <c r="F135" s="2"/>
      <c r="G135" s="25"/>
      <c r="H135" s="5" t="s">
        <v>2</v>
      </c>
      <c r="I135" s="53">
        <v>0</v>
      </c>
      <c r="J135" s="54">
        <f t="shared" si="5"/>
        <v>0</v>
      </c>
      <c r="K135" s="30"/>
      <c r="L135" s="29"/>
      <c r="M135" s="18"/>
      <c r="O135" s="18"/>
    </row>
    <row r="136" spans="1:15" s="1" customFormat="1" ht="34.5" customHeight="1">
      <c r="A136" s="22" t="s">
        <v>234</v>
      </c>
      <c r="B136" s="108">
        <v>805.89307500000007</v>
      </c>
      <c r="C136" s="112">
        <v>886.48238250000009</v>
      </c>
      <c r="D136" s="111">
        <f t="shared" si="6"/>
        <v>1208.8396125000002</v>
      </c>
      <c r="E136" s="2"/>
      <c r="F136" s="2"/>
      <c r="G136" s="25"/>
      <c r="H136" s="5" t="s">
        <v>2</v>
      </c>
      <c r="I136" s="53">
        <v>0</v>
      </c>
      <c r="J136" s="54">
        <f t="shared" si="5"/>
        <v>0</v>
      </c>
      <c r="K136" s="30"/>
      <c r="L136" s="29"/>
      <c r="M136" s="18"/>
      <c r="O136" s="18"/>
    </row>
    <row r="137" spans="1:15" s="1" customFormat="1" ht="34.5" customHeight="1">
      <c r="A137" s="22" t="s">
        <v>235</v>
      </c>
      <c r="B137" s="108">
        <v>473.33227499999998</v>
      </c>
      <c r="C137" s="112">
        <v>520.6655025</v>
      </c>
      <c r="D137" s="111">
        <f t="shared" si="6"/>
        <v>709.99841249999997</v>
      </c>
      <c r="E137" s="2"/>
      <c r="F137" s="2"/>
      <c r="G137" s="25"/>
      <c r="H137" s="5" t="s">
        <v>2</v>
      </c>
      <c r="I137" s="53">
        <v>0</v>
      </c>
      <c r="J137" s="54">
        <f t="shared" si="5"/>
        <v>0</v>
      </c>
      <c r="K137" s="30"/>
      <c r="L137" s="29"/>
      <c r="M137" s="18"/>
      <c r="O137" s="18"/>
    </row>
    <row r="138" spans="1:15" s="1" customFormat="1" ht="34.5" customHeight="1">
      <c r="A138" s="22" t="s">
        <v>236</v>
      </c>
      <c r="B138" s="108">
        <v>624.49627500000008</v>
      </c>
      <c r="C138" s="112">
        <v>686.9459025000001</v>
      </c>
      <c r="D138" s="111">
        <f t="shared" si="6"/>
        <v>936.74441250000018</v>
      </c>
      <c r="E138" s="2"/>
      <c r="F138" s="2"/>
      <c r="G138" s="25"/>
      <c r="H138" s="5" t="s">
        <v>2</v>
      </c>
      <c r="I138" s="53">
        <v>0</v>
      </c>
      <c r="J138" s="54">
        <f t="shared" si="5"/>
        <v>0</v>
      </c>
      <c r="K138" s="30"/>
      <c r="L138" s="29"/>
      <c r="M138" s="18"/>
      <c r="O138" s="18"/>
    </row>
    <row r="139" spans="1:15" s="1" customFormat="1" ht="34.5" customHeight="1">
      <c r="A139" s="22" t="s">
        <v>237</v>
      </c>
      <c r="B139" s="108">
        <v>239.97285000000002</v>
      </c>
      <c r="C139" s="112">
        <v>263.97013500000003</v>
      </c>
      <c r="D139" s="111">
        <f t="shared" si="6"/>
        <v>359.95927500000005</v>
      </c>
      <c r="E139" s="2"/>
      <c r="F139" s="2"/>
      <c r="G139" s="25"/>
      <c r="H139" s="5" t="s">
        <v>2</v>
      </c>
      <c r="I139" s="53">
        <v>0</v>
      </c>
      <c r="J139" s="54">
        <f t="shared" si="5"/>
        <v>0</v>
      </c>
      <c r="K139" s="30"/>
      <c r="L139" s="29"/>
      <c r="M139" s="18"/>
      <c r="O139" s="18"/>
    </row>
    <row r="140" spans="1:15" s="1" customFormat="1" ht="34.5" customHeight="1">
      <c r="A140" s="22" t="s">
        <v>238</v>
      </c>
      <c r="B140" s="108">
        <v>479.94570000000004</v>
      </c>
      <c r="C140" s="112">
        <v>527.94027000000006</v>
      </c>
      <c r="D140" s="111">
        <f t="shared" si="6"/>
        <v>719.9185500000001</v>
      </c>
      <c r="E140" s="2"/>
      <c r="F140" s="2"/>
      <c r="G140" s="25"/>
      <c r="H140" s="5" t="s">
        <v>2</v>
      </c>
      <c r="I140" s="53">
        <v>0</v>
      </c>
      <c r="J140" s="54">
        <f t="shared" si="5"/>
        <v>0</v>
      </c>
      <c r="K140" s="30"/>
      <c r="L140" s="29"/>
      <c r="M140" s="18"/>
      <c r="O140" s="18"/>
    </row>
    <row r="141" spans="1:15" s="1" customFormat="1" ht="34.5" customHeight="1">
      <c r="A141" s="22" t="s">
        <v>239</v>
      </c>
      <c r="B141" s="108">
        <v>285.32204999999999</v>
      </c>
      <c r="C141" s="112">
        <v>313.85425499999997</v>
      </c>
      <c r="D141" s="111">
        <f t="shared" si="6"/>
        <v>427.98307499999999</v>
      </c>
      <c r="E141" s="2"/>
      <c r="F141" s="2"/>
      <c r="G141" s="25"/>
      <c r="H141" s="5" t="s">
        <v>2</v>
      </c>
      <c r="I141" s="53">
        <v>0</v>
      </c>
      <c r="J141" s="54">
        <f t="shared" si="5"/>
        <v>0</v>
      </c>
      <c r="K141" s="30"/>
      <c r="L141" s="29"/>
      <c r="M141" s="18"/>
      <c r="O141" s="18"/>
    </row>
    <row r="142" spans="1:15" s="1" customFormat="1" ht="34.5" customHeight="1">
      <c r="A142" s="22" t="s">
        <v>240</v>
      </c>
      <c r="B142" s="108">
        <v>722.7528749999999</v>
      </c>
      <c r="C142" s="112">
        <v>795.02816249999989</v>
      </c>
      <c r="D142" s="111">
        <f t="shared" si="6"/>
        <v>1084.1293124999997</v>
      </c>
      <c r="E142" s="2"/>
      <c r="F142" s="2"/>
      <c r="G142" s="25"/>
      <c r="H142" s="5" t="s">
        <v>2</v>
      </c>
      <c r="I142" s="53">
        <v>0</v>
      </c>
      <c r="J142" s="54">
        <f t="shared" si="5"/>
        <v>0</v>
      </c>
      <c r="K142" s="30"/>
      <c r="L142" s="29"/>
      <c r="M142" s="18"/>
      <c r="O142" s="18"/>
    </row>
    <row r="143" spans="1:15" s="1" customFormat="1" ht="34.5" customHeight="1">
      <c r="A143" s="22" t="s">
        <v>241</v>
      </c>
      <c r="B143" s="108">
        <v>722.7528749999999</v>
      </c>
      <c r="C143" s="112">
        <v>795.02816249999989</v>
      </c>
      <c r="D143" s="111">
        <f t="shared" si="6"/>
        <v>1084.1293124999997</v>
      </c>
      <c r="E143" s="2"/>
      <c r="F143" s="2"/>
      <c r="G143" s="25"/>
      <c r="H143" s="5" t="s">
        <v>2</v>
      </c>
      <c r="I143" s="53">
        <v>0</v>
      </c>
      <c r="J143" s="54">
        <f t="shared" si="5"/>
        <v>0</v>
      </c>
      <c r="K143" s="30"/>
      <c r="L143" s="29"/>
      <c r="M143" s="18"/>
      <c r="O143" s="18"/>
    </row>
    <row r="144" spans="1:15" s="1" customFormat="1" ht="34.5" customHeight="1">
      <c r="A144" s="22" t="s">
        <v>242</v>
      </c>
      <c r="B144" s="108">
        <v>683.07232500000009</v>
      </c>
      <c r="C144" s="112">
        <v>751.37955750000015</v>
      </c>
      <c r="D144" s="111">
        <f t="shared" si="6"/>
        <v>1024.6084875000001</v>
      </c>
      <c r="E144" s="2"/>
      <c r="F144" s="2"/>
      <c r="G144" s="25"/>
      <c r="H144" s="5" t="s">
        <v>2</v>
      </c>
      <c r="I144" s="53">
        <v>0</v>
      </c>
      <c r="J144" s="54">
        <f t="shared" si="5"/>
        <v>0</v>
      </c>
      <c r="K144" s="30"/>
      <c r="L144" s="29"/>
      <c r="M144" s="18"/>
      <c r="O144" s="18"/>
    </row>
    <row r="145" spans="1:15" s="1" customFormat="1" ht="34.5" customHeight="1">
      <c r="A145" s="22" t="s">
        <v>243</v>
      </c>
      <c r="B145" s="108">
        <v>144.55057500000001</v>
      </c>
      <c r="C145" s="112">
        <v>159.00563250000002</v>
      </c>
      <c r="D145" s="111">
        <f t="shared" si="6"/>
        <v>216.82586250000003</v>
      </c>
      <c r="E145" s="2"/>
      <c r="F145" s="2"/>
      <c r="G145" s="25"/>
      <c r="H145" s="5" t="s">
        <v>2</v>
      </c>
      <c r="I145" s="53">
        <v>0</v>
      </c>
      <c r="J145" s="54">
        <f t="shared" si="5"/>
        <v>0</v>
      </c>
      <c r="K145" s="30"/>
      <c r="L145" s="29"/>
      <c r="M145" s="18"/>
      <c r="O145" s="18"/>
    </row>
    <row r="146" spans="1:15" s="1" customFormat="1" ht="34.5" customHeight="1">
      <c r="A146" s="22" t="s">
        <v>244</v>
      </c>
      <c r="B146" s="108">
        <v>805.89307500000007</v>
      </c>
      <c r="C146" s="112">
        <v>886.48238250000009</v>
      </c>
      <c r="D146" s="111">
        <f t="shared" si="6"/>
        <v>1208.8396125000002</v>
      </c>
      <c r="E146" s="2"/>
      <c r="F146" s="2"/>
      <c r="G146" s="25"/>
      <c r="H146" s="5" t="s">
        <v>2</v>
      </c>
      <c r="I146" s="53">
        <v>0</v>
      </c>
      <c r="J146" s="54">
        <f t="shared" si="5"/>
        <v>0</v>
      </c>
      <c r="K146" s="30"/>
      <c r="L146" s="29"/>
      <c r="M146" s="18"/>
      <c r="O146" s="18"/>
    </row>
    <row r="147" spans="1:15" s="1" customFormat="1" ht="34.5" customHeight="1">
      <c r="A147" s="22" t="s">
        <v>245</v>
      </c>
      <c r="B147" s="108">
        <v>691.57529999999997</v>
      </c>
      <c r="C147" s="112">
        <v>760.73282999999992</v>
      </c>
      <c r="D147" s="111">
        <f t="shared" si="6"/>
        <v>1037.36295</v>
      </c>
      <c r="E147" s="2"/>
      <c r="F147" s="2"/>
      <c r="G147" s="25"/>
      <c r="H147" s="5" t="s">
        <v>2</v>
      </c>
      <c r="I147" s="53">
        <v>0</v>
      </c>
      <c r="J147" s="54">
        <f t="shared" si="5"/>
        <v>0</v>
      </c>
      <c r="K147" s="30"/>
      <c r="L147" s="29"/>
      <c r="M147" s="18"/>
      <c r="O147" s="18"/>
    </row>
    <row r="148" spans="1:15" s="1" customFormat="1" ht="34.5" customHeight="1">
      <c r="A148" s="22" t="s">
        <v>246</v>
      </c>
      <c r="B148" s="108">
        <v>292.88024999999999</v>
      </c>
      <c r="C148" s="112">
        <v>322.16827499999999</v>
      </c>
      <c r="D148" s="111">
        <f t="shared" si="6"/>
        <v>439.32037500000001</v>
      </c>
      <c r="E148" s="2"/>
      <c r="F148" s="2"/>
      <c r="G148" s="25"/>
      <c r="H148" s="5" t="s">
        <v>2</v>
      </c>
      <c r="I148" s="53">
        <v>0</v>
      </c>
      <c r="J148" s="54">
        <f t="shared" si="5"/>
        <v>0</v>
      </c>
      <c r="K148" s="30"/>
      <c r="L148" s="29"/>
      <c r="M148" s="18"/>
      <c r="O148" s="18"/>
    </row>
    <row r="149" spans="1:15" s="1" customFormat="1" ht="34.5" customHeight="1">
      <c r="A149" s="22" t="s">
        <v>247</v>
      </c>
      <c r="B149" s="108">
        <v>1188.5269499999999</v>
      </c>
      <c r="C149" s="112">
        <v>1307.379645</v>
      </c>
      <c r="D149" s="111">
        <f t="shared" si="6"/>
        <v>1782.7904249999999</v>
      </c>
      <c r="E149" s="2"/>
      <c r="F149" s="2"/>
      <c r="G149" s="25"/>
      <c r="H149" s="5" t="s">
        <v>2</v>
      </c>
      <c r="I149" s="53">
        <v>0</v>
      </c>
      <c r="J149" s="54">
        <f t="shared" si="5"/>
        <v>0</v>
      </c>
      <c r="K149" s="30"/>
      <c r="L149" s="29"/>
      <c r="M149" s="18"/>
      <c r="O149" s="18"/>
    </row>
    <row r="150" spans="1:15" s="1" customFormat="1" ht="34.5" customHeight="1">
      <c r="A150" s="22" t="s">
        <v>248</v>
      </c>
      <c r="B150" s="108">
        <v>1339.6909499999999</v>
      </c>
      <c r="C150" s="112">
        <v>1473.6600449999999</v>
      </c>
      <c r="D150" s="111">
        <f t="shared" si="6"/>
        <v>2009.5364249999998</v>
      </c>
      <c r="E150" s="2"/>
      <c r="F150" s="2"/>
      <c r="G150" s="25"/>
      <c r="H150" s="5" t="s">
        <v>2</v>
      </c>
      <c r="I150" s="53">
        <v>0</v>
      </c>
      <c r="J150" s="54">
        <f t="shared" si="5"/>
        <v>0</v>
      </c>
      <c r="K150" s="30"/>
      <c r="L150" s="29"/>
      <c r="M150" s="18"/>
      <c r="O150" s="18"/>
    </row>
    <row r="151" spans="1:15" ht="23.25">
      <c r="A151" s="128" t="s">
        <v>307</v>
      </c>
      <c r="B151" s="129"/>
      <c r="C151" s="129"/>
      <c r="D151" s="129"/>
      <c r="E151" s="129"/>
      <c r="F151" s="129"/>
      <c r="G151" s="129"/>
      <c r="H151" s="130"/>
      <c r="I151" s="48"/>
      <c r="J151" s="48">
        <f>SUM(J4:J150)</f>
        <v>0</v>
      </c>
    </row>
    <row r="152" spans="1:15" ht="37.5" customHeight="1">
      <c r="J152" s="63"/>
    </row>
  </sheetData>
  <mergeCells count="3">
    <mergeCell ref="A1:J1"/>
    <mergeCell ref="A3:J3"/>
    <mergeCell ref="A151:H15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75"/>
  <sheetViews>
    <sheetView zoomScale="55" zoomScaleNormal="55" workbookViewId="0">
      <pane ySplit="2" topLeftCell="A3" activePane="bottomLeft" state="frozen"/>
      <selection pane="bottomLeft" activeCell="A44" sqref="A44"/>
    </sheetView>
  </sheetViews>
  <sheetFormatPr defaultRowHeight="18"/>
  <cols>
    <col min="1" max="1" width="79.28515625" style="45" customWidth="1"/>
    <col min="2" max="2" width="17.42578125" customWidth="1"/>
    <col min="3" max="3" width="23.85546875" customWidth="1"/>
    <col min="4" max="4" width="13.28515625" customWidth="1"/>
    <col min="5" max="5" width="33.5703125" customWidth="1"/>
    <col min="6" max="6" width="16.85546875" customWidth="1"/>
    <col min="7" max="7" width="45" style="100" customWidth="1"/>
    <col min="8" max="8" width="18" customWidth="1"/>
    <col min="10" max="10" width="22.85546875" customWidth="1"/>
  </cols>
  <sheetData>
    <row r="1" spans="1:10" ht="121.5" customHeight="1">
      <c r="A1" s="127" t="s">
        <v>310</v>
      </c>
      <c r="B1" s="127"/>
      <c r="C1" s="127"/>
      <c r="D1" s="127"/>
      <c r="E1" s="127"/>
      <c r="F1" s="127"/>
      <c r="G1" s="127"/>
      <c r="H1" s="127"/>
      <c r="I1" s="127"/>
      <c r="J1" s="127"/>
    </row>
    <row r="2" spans="1:10" ht="66.75" customHeight="1">
      <c r="A2" s="32" t="s">
        <v>304</v>
      </c>
      <c r="B2" s="33" t="s">
        <v>298</v>
      </c>
      <c r="C2" s="33" t="s">
        <v>311</v>
      </c>
      <c r="D2" s="33" t="s">
        <v>297</v>
      </c>
      <c r="E2" s="34" t="s">
        <v>250</v>
      </c>
      <c r="F2" s="35" t="s">
        <v>312</v>
      </c>
      <c r="G2" s="32" t="s">
        <v>21</v>
      </c>
      <c r="H2" s="35" t="s">
        <v>1</v>
      </c>
      <c r="I2" s="35" t="s">
        <v>3</v>
      </c>
      <c r="J2" s="36" t="s">
        <v>0</v>
      </c>
    </row>
    <row r="3" spans="1:10" ht="23.25">
      <c r="A3" s="126" t="s">
        <v>15</v>
      </c>
      <c r="B3" s="126"/>
      <c r="C3" s="126"/>
      <c r="D3" s="126"/>
      <c r="E3" s="126"/>
      <c r="F3" s="126"/>
      <c r="G3" s="126"/>
      <c r="H3" s="126"/>
      <c r="I3" s="126"/>
      <c r="J3" s="126"/>
    </row>
    <row r="4" spans="1:10" ht="30" customHeight="1">
      <c r="A4" s="46" t="s">
        <v>290</v>
      </c>
      <c r="B4" s="64">
        <v>557.41724999999997</v>
      </c>
      <c r="C4" s="53">
        <f t="shared" ref="C4:C5" si="0">B4*1.1</f>
        <v>613.15897500000005</v>
      </c>
      <c r="D4" s="55">
        <f t="shared" ref="D4:D10" si="1">B4*1.6</f>
        <v>891.86760000000004</v>
      </c>
      <c r="E4" s="2"/>
      <c r="F4" s="69"/>
      <c r="G4" s="25"/>
      <c r="H4" s="92" t="s">
        <v>7</v>
      </c>
      <c r="I4" s="51">
        <v>0</v>
      </c>
      <c r="J4" s="50">
        <f t="shared" ref="J4:J67" si="2">B4*I4</f>
        <v>0</v>
      </c>
    </row>
    <row r="5" spans="1:10" ht="30" customHeight="1">
      <c r="A5" s="46" t="s">
        <v>291</v>
      </c>
      <c r="B5" s="64">
        <v>557.41724999999997</v>
      </c>
      <c r="C5" s="53">
        <f t="shared" si="0"/>
        <v>613.15897500000005</v>
      </c>
      <c r="D5" s="55">
        <f t="shared" si="1"/>
        <v>891.86760000000004</v>
      </c>
      <c r="E5" s="2"/>
      <c r="F5" s="69"/>
      <c r="G5" s="25"/>
      <c r="H5" s="92" t="s">
        <v>7</v>
      </c>
      <c r="I5" s="51">
        <v>0</v>
      </c>
      <c r="J5" s="50">
        <f t="shared" si="2"/>
        <v>0</v>
      </c>
    </row>
    <row r="6" spans="1:10" ht="30" customHeight="1">
      <c r="A6" s="46" t="s">
        <v>292</v>
      </c>
      <c r="B6" s="64">
        <v>557.41724999999997</v>
      </c>
      <c r="C6" s="53">
        <f>B6*1.1</f>
        <v>613.15897500000005</v>
      </c>
      <c r="D6" s="55">
        <f t="shared" si="1"/>
        <v>891.86760000000004</v>
      </c>
      <c r="E6" s="2"/>
      <c r="F6" s="69"/>
      <c r="G6" s="25"/>
      <c r="H6" s="92" t="s">
        <v>7</v>
      </c>
      <c r="I6" s="51">
        <v>0</v>
      </c>
      <c r="J6" s="50">
        <f t="shared" si="2"/>
        <v>0</v>
      </c>
    </row>
    <row r="7" spans="1:10" ht="30" customHeight="1">
      <c r="A7" s="46" t="s">
        <v>293</v>
      </c>
      <c r="B7" s="64">
        <v>505.45462499999996</v>
      </c>
      <c r="C7" s="53">
        <f t="shared" ref="C7:C10" si="3">B7*1.1</f>
        <v>556.00008749999995</v>
      </c>
      <c r="D7" s="55">
        <f t="shared" si="1"/>
        <v>808.72739999999999</v>
      </c>
      <c r="E7" s="2"/>
      <c r="F7" s="69"/>
      <c r="G7" s="25"/>
      <c r="H7" s="92" t="s">
        <v>7</v>
      </c>
      <c r="I7" s="51">
        <v>0</v>
      </c>
      <c r="J7" s="50">
        <f t="shared" si="2"/>
        <v>0</v>
      </c>
    </row>
    <row r="8" spans="1:10" ht="30" customHeight="1">
      <c r="A8" s="46" t="s">
        <v>294</v>
      </c>
      <c r="B8" s="64">
        <v>505.45462499999996</v>
      </c>
      <c r="C8" s="53">
        <f t="shared" si="3"/>
        <v>556.00008749999995</v>
      </c>
      <c r="D8" s="55">
        <f t="shared" si="1"/>
        <v>808.72739999999999</v>
      </c>
      <c r="E8" s="2"/>
      <c r="F8" s="69"/>
      <c r="G8" s="26"/>
      <c r="H8" s="92" t="s">
        <v>7</v>
      </c>
      <c r="I8" s="51">
        <v>0</v>
      </c>
      <c r="J8" s="50">
        <f t="shared" si="2"/>
        <v>0</v>
      </c>
    </row>
    <row r="9" spans="1:10" ht="30" customHeight="1">
      <c r="A9" s="3" t="s">
        <v>262</v>
      </c>
      <c r="B9" s="65">
        <v>575.367975</v>
      </c>
      <c r="C9" s="53">
        <f t="shared" si="3"/>
        <v>632.90477250000004</v>
      </c>
      <c r="D9" s="55">
        <f t="shared" si="1"/>
        <v>920.58876000000009</v>
      </c>
      <c r="E9" s="2"/>
      <c r="F9" s="14"/>
      <c r="G9" s="23" t="s">
        <v>263</v>
      </c>
      <c r="H9" s="123" t="s">
        <v>7</v>
      </c>
      <c r="I9" s="55">
        <v>0</v>
      </c>
      <c r="J9" s="50">
        <f t="shared" si="2"/>
        <v>0</v>
      </c>
    </row>
    <row r="10" spans="1:10" ht="30" customHeight="1">
      <c r="A10" s="3" t="s">
        <v>264</v>
      </c>
      <c r="B10" s="56">
        <v>605.600775</v>
      </c>
      <c r="C10" s="53">
        <f t="shared" si="3"/>
        <v>666.16085250000003</v>
      </c>
      <c r="D10" s="55">
        <f t="shared" si="1"/>
        <v>968.96124000000009</v>
      </c>
      <c r="E10" s="2"/>
      <c r="F10" s="14"/>
      <c r="G10" s="23" t="s">
        <v>265</v>
      </c>
      <c r="H10" s="123" t="s">
        <v>7</v>
      </c>
      <c r="I10" s="55">
        <v>0</v>
      </c>
      <c r="J10" s="50">
        <f t="shared" si="2"/>
        <v>0</v>
      </c>
    </row>
    <row r="11" spans="1:10" ht="53.25" hidden="1" customHeight="1">
      <c r="A11" s="8" t="s">
        <v>48</v>
      </c>
      <c r="B11" s="52">
        <v>6461.3162249999996</v>
      </c>
      <c r="C11" s="66">
        <v>7107.4478474999996</v>
      </c>
      <c r="D11" s="55">
        <f t="shared" ref="D11:D14" si="4">B11*1.5</f>
        <v>9691.9743374999998</v>
      </c>
      <c r="E11" s="7"/>
      <c r="F11" s="7">
        <v>1</v>
      </c>
      <c r="G11" s="24" t="s">
        <v>50</v>
      </c>
      <c r="H11" s="7" t="s">
        <v>7</v>
      </c>
      <c r="I11" s="52">
        <v>0</v>
      </c>
      <c r="J11" s="50">
        <f t="shared" si="2"/>
        <v>0</v>
      </c>
    </row>
    <row r="12" spans="1:10" ht="53.25" hidden="1" customHeight="1">
      <c r="A12" s="8" t="s">
        <v>49</v>
      </c>
      <c r="B12" s="52">
        <v>8790.1865999999991</v>
      </c>
      <c r="C12" s="66">
        <v>9669.2052599999988</v>
      </c>
      <c r="D12" s="55">
        <f t="shared" si="4"/>
        <v>13185.279899999998</v>
      </c>
      <c r="E12" s="7"/>
      <c r="F12" s="7">
        <v>1</v>
      </c>
      <c r="G12" s="24" t="s">
        <v>51</v>
      </c>
      <c r="H12" s="7" t="s">
        <v>7</v>
      </c>
      <c r="I12" s="52">
        <v>0</v>
      </c>
      <c r="J12" s="50">
        <f t="shared" si="2"/>
        <v>0</v>
      </c>
    </row>
    <row r="13" spans="1:10" ht="53.25" hidden="1" customHeight="1">
      <c r="A13" s="8" t="s">
        <v>52</v>
      </c>
      <c r="B13" s="52">
        <v>235.24897500000003</v>
      </c>
      <c r="C13" s="66">
        <v>258.77387250000004</v>
      </c>
      <c r="D13" s="55">
        <f t="shared" si="4"/>
        <v>352.87346250000007</v>
      </c>
      <c r="E13" s="7"/>
      <c r="F13" s="7">
        <v>1</v>
      </c>
      <c r="G13" s="24" t="s">
        <v>254</v>
      </c>
      <c r="H13" s="7" t="s">
        <v>7</v>
      </c>
      <c r="I13" s="52">
        <v>0</v>
      </c>
      <c r="J13" s="50">
        <f t="shared" si="2"/>
        <v>0</v>
      </c>
    </row>
    <row r="14" spans="1:10" ht="53.25" hidden="1" customHeight="1">
      <c r="A14" s="8" t="s">
        <v>52</v>
      </c>
      <c r="B14" s="52">
        <v>235.24897500000003</v>
      </c>
      <c r="C14" s="66">
        <v>258.77387250000004</v>
      </c>
      <c r="D14" s="55">
        <f t="shared" si="4"/>
        <v>352.87346250000007</v>
      </c>
      <c r="E14" s="7"/>
      <c r="F14" s="7">
        <v>1</v>
      </c>
      <c r="G14" s="24" t="s">
        <v>255</v>
      </c>
      <c r="H14" s="7" t="s">
        <v>7</v>
      </c>
      <c r="I14" s="52">
        <v>0</v>
      </c>
      <c r="J14" s="50">
        <f t="shared" si="2"/>
        <v>0</v>
      </c>
    </row>
    <row r="15" spans="1:10" ht="97.5" customHeight="1">
      <c r="A15" s="116" t="s">
        <v>411</v>
      </c>
      <c r="B15" s="117">
        <v>3675.1747500000001</v>
      </c>
      <c r="C15" s="118">
        <f>B15*1.1</f>
        <v>4042.6922250000007</v>
      </c>
      <c r="D15" s="119">
        <f t="shared" ref="D15:D46" si="5">B15*1.6</f>
        <v>5880.2796000000008</v>
      </c>
      <c r="E15" s="16"/>
      <c r="F15" s="2"/>
      <c r="G15" s="99"/>
      <c r="H15" s="5" t="s">
        <v>2</v>
      </c>
      <c r="I15" s="55">
        <v>0</v>
      </c>
      <c r="J15" s="50">
        <f t="shared" si="2"/>
        <v>0</v>
      </c>
    </row>
    <row r="16" spans="1:10" ht="97.5" customHeight="1">
      <c r="A16" s="116" t="s">
        <v>412</v>
      </c>
      <c r="B16" s="117">
        <v>8484.0794999999998</v>
      </c>
      <c r="C16" s="118">
        <f t="shared" ref="C16:C27" si="6">B16*1.1</f>
        <v>9332.4874500000005</v>
      </c>
      <c r="D16" s="119">
        <f t="shared" si="5"/>
        <v>13574.5272</v>
      </c>
      <c r="E16" s="16"/>
      <c r="F16" s="2"/>
      <c r="G16" s="99"/>
      <c r="H16" s="92" t="s">
        <v>7</v>
      </c>
      <c r="I16" s="55">
        <v>0</v>
      </c>
      <c r="J16" s="50">
        <f t="shared" si="2"/>
        <v>0</v>
      </c>
    </row>
    <row r="17" spans="1:10" ht="97.5" customHeight="1">
      <c r="A17" s="116" t="s">
        <v>413</v>
      </c>
      <c r="B17" s="117">
        <v>16122</v>
      </c>
      <c r="C17" s="118">
        <f t="shared" si="6"/>
        <v>17734.2</v>
      </c>
      <c r="D17" s="119">
        <f t="shared" si="5"/>
        <v>25795.200000000001</v>
      </c>
      <c r="E17" s="16"/>
      <c r="F17" s="2"/>
      <c r="G17" s="99"/>
      <c r="H17" s="5" t="s">
        <v>2</v>
      </c>
      <c r="I17" s="55">
        <v>0</v>
      </c>
      <c r="J17" s="50">
        <f t="shared" si="2"/>
        <v>0</v>
      </c>
    </row>
    <row r="18" spans="1:10" ht="97.5" customHeight="1">
      <c r="A18" s="116" t="s">
        <v>414</v>
      </c>
      <c r="B18" s="117">
        <v>1435.1132250000001</v>
      </c>
      <c r="C18" s="118">
        <f t="shared" si="6"/>
        <v>1578.6245475000003</v>
      </c>
      <c r="D18" s="119">
        <f t="shared" si="5"/>
        <v>2296.1811600000001</v>
      </c>
      <c r="E18" s="16"/>
      <c r="F18" s="2"/>
      <c r="G18" s="99"/>
      <c r="H18" s="5" t="s">
        <v>2</v>
      </c>
      <c r="I18" s="55">
        <v>0</v>
      </c>
      <c r="J18" s="50">
        <f t="shared" si="2"/>
        <v>0</v>
      </c>
    </row>
    <row r="19" spans="1:10" ht="97.5" customHeight="1">
      <c r="A19" s="116" t="s">
        <v>415</v>
      </c>
      <c r="B19" s="120">
        <v>1526.7564</v>
      </c>
      <c r="C19" s="118">
        <f t="shared" si="6"/>
        <v>1679.4320400000001</v>
      </c>
      <c r="D19" s="119">
        <f t="shared" si="5"/>
        <v>2442.8102400000002</v>
      </c>
      <c r="E19" s="16"/>
      <c r="F19" s="2"/>
      <c r="G19" s="99"/>
      <c r="H19" s="92" t="s">
        <v>7</v>
      </c>
      <c r="I19" s="55">
        <v>0</v>
      </c>
      <c r="J19" s="50">
        <f t="shared" si="2"/>
        <v>0</v>
      </c>
    </row>
    <row r="20" spans="1:10" ht="97.5" customHeight="1">
      <c r="A20" s="116" t="s">
        <v>416</v>
      </c>
      <c r="B20" s="120">
        <v>3632.6598749999998</v>
      </c>
      <c r="C20" s="118">
        <f t="shared" si="6"/>
        <v>3995.9258625000002</v>
      </c>
      <c r="D20" s="119">
        <f t="shared" si="5"/>
        <v>5812.2557999999999</v>
      </c>
      <c r="E20" s="16"/>
      <c r="F20" s="2"/>
      <c r="G20" s="99"/>
      <c r="H20" s="5" t="s">
        <v>2</v>
      </c>
      <c r="I20" s="55">
        <v>0</v>
      </c>
      <c r="J20" s="50">
        <f t="shared" si="2"/>
        <v>0</v>
      </c>
    </row>
    <row r="21" spans="1:10" ht="97.5" customHeight="1">
      <c r="A21" s="116" t="s">
        <v>417</v>
      </c>
      <c r="B21" s="120">
        <v>5833.9856250000003</v>
      </c>
      <c r="C21" s="118">
        <f t="shared" si="6"/>
        <v>6417.3841875000007</v>
      </c>
      <c r="D21" s="119">
        <f t="shared" si="5"/>
        <v>9334.3770000000004</v>
      </c>
      <c r="E21" s="16"/>
      <c r="F21" s="2"/>
      <c r="G21" s="99"/>
      <c r="H21" s="5" t="s">
        <v>2</v>
      </c>
      <c r="I21" s="55">
        <v>0</v>
      </c>
      <c r="J21" s="50">
        <f t="shared" si="2"/>
        <v>0</v>
      </c>
    </row>
    <row r="22" spans="1:10" ht="97.5" customHeight="1">
      <c r="A22" s="116" t="s">
        <v>418</v>
      </c>
      <c r="B22" s="120">
        <v>4792.8435749999999</v>
      </c>
      <c r="C22" s="118">
        <f t="shared" si="6"/>
        <v>5272.1279325000005</v>
      </c>
      <c r="D22" s="119">
        <f t="shared" si="5"/>
        <v>7668.54972</v>
      </c>
      <c r="E22" s="16"/>
      <c r="F22" s="2"/>
      <c r="G22" s="99"/>
      <c r="H22" s="5" t="s">
        <v>2</v>
      </c>
      <c r="I22" s="55">
        <v>0</v>
      </c>
      <c r="J22" s="50">
        <f t="shared" si="2"/>
        <v>0</v>
      </c>
    </row>
    <row r="23" spans="1:10" ht="97.5" customHeight="1">
      <c r="A23" s="116" t="s">
        <v>419</v>
      </c>
      <c r="B23" s="120">
        <v>5995.5421500000002</v>
      </c>
      <c r="C23" s="118">
        <f t="shared" si="6"/>
        <v>6595.0963650000003</v>
      </c>
      <c r="D23" s="119">
        <f t="shared" si="5"/>
        <v>9592.86744</v>
      </c>
      <c r="E23" s="16"/>
      <c r="F23" s="2"/>
      <c r="G23" s="99"/>
      <c r="H23" s="5" t="s">
        <v>2</v>
      </c>
      <c r="I23" s="55">
        <v>0</v>
      </c>
      <c r="J23" s="50">
        <f t="shared" si="2"/>
        <v>0</v>
      </c>
    </row>
    <row r="24" spans="1:10" ht="97.5" customHeight="1">
      <c r="A24" s="116" t="s">
        <v>420</v>
      </c>
      <c r="B24" s="120">
        <v>791.72145</v>
      </c>
      <c r="C24" s="118">
        <f t="shared" si="6"/>
        <v>870.89359500000012</v>
      </c>
      <c r="D24" s="119">
        <f t="shared" si="5"/>
        <v>1266.75432</v>
      </c>
      <c r="E24" s="16"/>
      <c r="F24" s="2"/>
      <c r="G24" s="99"/>
      <c r="H24" s="92" t="s">
        <v>7</v>
      </c>
      <c r="I24" s="55">
        <v>0</v>
      </c>
      <c r="J24" s="50">
        <f t="shared" si="2"/>
        <v>0</v>
      </c>
    </row>
    <row r="25" spans="1:10" ht="97.5" customHeight="1">
      <c r="A25" s="116" t="s">
        <v>421</v>
      </c>
      <c r="B25" s="120">
        <v>3083.7456000000002</v>
      </c>
      <c r="C25" s="118">
        <f t="shared" si="6"/>
        <v>3392.1201600000004</v>
      </c>
      <c r="D25" s="119">
        <f t="shared" si="5"/>
        <v>4933.9929600000005</v>
      </c>
      <c r="E25" s="16"/>
      <c r="F25" s="2"/>
      <c r="G25" s="99"/>
      <c r="H25" s="92" t="s">
        <v>7</v>
      </c>
      <c r="I25" s="55">
        <v>0</v>
      </c>
      <c r="J25" s="50">
        <f t="shared" si="2"/>
        <v>0</v>
      </c>
    </row>
    <row r="26" spans="1:10" ht="97.5" customHeight="1">
      <c r="A26" s="116" t="s">
        <v>422</v>
      </c>
      <c r="B26" s="120">
        <v>3177.2783250000002</v>
      </c>
      <c r="C26" s="118">
        <f t="shared" si="6"/>
        <v>3495.0061575000004</v>
      </c>
      <c r="D26" s="119">
        <f t="shared" si="5"/>
        <v>5083.6453200000005</v>
      </c>
      <c r="E26" s="16"/>
      <c r="F26" s="2"/>
      <c r="G26" s="99"/>
      <c r="H26" s="92" t="s">
        <v>7</v>
      </c>
      <c r="I26" s="55">
        <v>0</v>
      </c>
      <c r="J26" s="50">
        <f t="shared" si="2"/>
        <v>0</v>
      </c>
    </row>
    <row r="27" spans="1:10" ht="84.75" customHeight="1">
      <c r="A27" s="116" t="s">
        <v>423</v>
      </c>
      <c r="B27" s="120">
        <v>1083.656925</v>
      </c>
      <c r="C27" s="118">
        <f t="shared" si="6"/>
        <v>1192.0226175</v>
      </c>
      <c r="D27" s="119">
        <f t="shared" si="5"/>
        <v>1733.8510800000001</v>
      </c>
      <c r="E27" s="16"/>
      <c r="F27" s="2"/>
      <c r="G27" s="99"/>
      <c r="H27" s="5" t="s">
        <v>2</v>
      </c>
      <c r="I27" s="55">
        <v>0</v>
      </c>
      <c r="J27" s="50">
        <f t="shared" si="2"/>
        <v>0</v>
      </c>
    </row>
    <row r="28" spans="1:10" ht="43.5" customHeight="1">
      <c r="A28" s="101" t="s">
        <v>394</v>
      </c>
      <c r="B28" s="67">
        <v>9651</v>
      </c>
      <c r="C28" s="53">
        <f t="shared" ref="C28:C48" si="7">B28*1.1</f>
        <v>10616.1</v>
      </c>
      <c r="D28" s="55">
        <f t="shared" si="5"/>
        <v>15441.6</v>
      </c>
      <c r="E28" s="16"/>
      <c r="F28" s="2">
        <v>4</v>
      </c>
      <c r="G28" s="99" t="s">
        <v>380</v>
      </c>
      <c r="H28" s="5" t="s">
        <v>2</v>
      </c>
      <c r="I28" s="55">
        <v>0</v>
      </c>
      <c r="J28" s="50">
        <f t="shared" si="2"/>
        <v>0</v>
      </c>
    </row>
    <row r="29" spans="1:10" ht="43.5" customHeight="1">
      <c r="A29" s="101" t="s">
        <v>397</v>
      </c>
      <c r="B29" s="67">
        <v>9416</v>
      </c>
      <c r="C29" s="53">
        <f t="shared" si="7"/>
        <v>10357.6</v>
      </c>
      <c r="D29" s="55">
        <f t="shared" si="5"/>
        <v>15065.6</v>
      </c>
      <c r="E29" s="16"/>
      <c r="F29" s="2">
        <v>4</v>
      </c>
      <c r="G29" s="99" t="s">
        <v>379</v>
      </c>
      <c r="H29" s="5" t="s">
        <v>2</v>
      </c>
      <c r="I29" s="55">
        <v>0</v>
      </c>
      <c r="J29" s="50">
        <f t="shared" si="2"/>
        <v>0</v>
      </c>
    </row>
    <row r="30" spans="1:10" ht="43.5" customHeight="1">
      <c r="A30" s="101" t="s">
        <v>395</v>
      </c>
      <c r="B30" s="67">
        <v>4929</v>
      </c>
      <c r="C30" s="53">
        <f t="shared" si="7"/>
        <v>5421.9000000000005</v>
      </c>
      <c r="D30" s="55">
        <f t="shared" si="5"/>
        <v>7886.4000000000005</v>
      </c>
      <c r="E30" s="16"/>
      <c r="F30" s="2">
        <v>4</v>
      </c>
      <c r="G30" s="99" t="s">
        <v>378</v>
      </c>
      <c r="H30" s="5" t="s">
        <v>2</v>
      </c>
      <c r="I30" s="55">
        <v>0</v>
      </c>
      <c r="J30" s="50">
        <f t="shared" si="2"/>
        <v>0</v>
      </c>
    </row>
    <row r="31" spans="1:10" ht="43.5" customHeight="1">
      <c r="A31" s="101" t="s">
        <v>396</v>
      </c>
      <c r="B31" s="67">
        <v>4825</v>
      </c>
      <c r="C31" s="53">
        <f t="shared" si="7"/>
        <v>5307.5</v>
      </c>
      <c r="D31" s="55">
        <f t="shared" si="5"/>
        <v>7720</v>
      </c>
      <c r="E31" s="16"/>
      <c r="F31" s="2">
        <v>4</v>
      </c>
      <c r="G31" s="99" t="s">
        <v>381</v>
      </c>
      <c r="H31" s="5" t="s">
        <v>2</v>
      </c>
      <c r="I31" s="55">
        <v>0</v>
      </c>
      <c r="J31" s="50">
        <f t="shared" si="2"/>
        <v>0</v>
      </c>
    </row>
    <row r="32" spans="1:10" ht="43.5" customHeight="1">
      <c r="A32" s="101" t="s">
        <v>398</v>
      </c>
      <c r="B32" s="67">
        <v>1450</v>
      </c>
      <c r="C32" s="53">
        <f t="shared" si="7"/>
        <v>1595.0000000000002</v>
      </c>
      <c r="D32" s="55">
        <f t="shared" si="5"/>
        <v>2320</v>
      </c>
      <c r="E32" s="16"/>
      <c r="F32" s="2">
        <v>4</v>
      </c>
      <c r="G32" s="99" t="s">
        <v>382</v>
      </c>
      <c r="H32" s="5" t="s">
        <v>2</v>
      </c>
      <c r="I32" s="55">
        <v>0</v>
      </c>
      <c r="J32" s="50">
        <f t="shared" si="2"/>
        <v>0</v>
      </c>
    </row>
    <row r="33" spans="1:10" ht="43.5" customHeight="1">
      <c r="A33" s="101" t="s">
        <v>403</v>
      </c>
      <c r="B33" s="67">
        <v>8359</v>
      </c>
      <c r="C33" s="53">
        <f t="shared" si="7"/>
        <v>9194.9000000000015</v>
      </c>
      <c r="D33" s="55">
        <f t="shared" si="5"/>
        <v>13374.400000000001</v>
      </c>
      <c r="E33" s="16"/>
      <c r="F33" s="2">
        <v>4</v>
      </c>
      <c r="G33" s="99" t="s">
        <v>408</v>
      </c>
      <c r="H33" s="5" t="s">
        <v>2</v>
      </c>
      <c r="I33" s="55">
        <v>0</v>
      </c>
      <c r="J33" s="50">
        <f t="shared" si="2"/>
        <v>0</v>
      </c>
    </row>
    <row r="34" spans="1:10" ht="43.5" customHeight="1">
      <c r="A34" s="101" t="s">
        <v>404</v>
      </c>
      <c r="B34" s="67">
        <v>8151</v>
      </c>
      <c r="C34" s="53">
        <f t="shared" si="7"/>
        <v>8966.1</v>
      </c>
      <c r="D34" s="55">
        <f t="shared" si="5"/>
        <v>13041.6</v>
      </c>
      <c r="E34" s="16"/>
      <c r="F34" s="2">
        <v>4</v>
      </c>
      <c r="G34" s="99" t="s">
        <v>407</v>
      </c>
      <c r="H34" s="5" t="s">
        <v>2</v>
      </c>
      <c r="I34" s="55">
        <v>0</v>
      </c>
      <c r="J34" s="50">
        <f t="shared" si="2"/>
        <v>0</v>
      </c>
    </row>
    <row r="35" spans="1:10" ht="43.5" customHeight="1">
      <c r="A35" s="101" t="s">
        <v>405</v>
      </c>
      <c r="B35" s="67">
        <v>1850</v>
      </c>
      <c r="C35" s="53">
        <f t="shared" si="7"/>
        <v>2035.0000000000002</v>
      </c>
      <c r="D35" s="55">
        <f t="shared" si="5"/>
        <v>2960</v>
      </c>
      <c r="E35" s="16"/>
      <c r="F35" s="2">
        <v>4</v>
      </c>
      <c r="G35" s="99" t="s">
        <v>406</v>
      </c>
      <c r="H35" s="5" t="s">
        <v>2</v>
      </c>
      <c r="I35" s="55">
        <v>0</v>
      </c>
      <c r="J35" s="50">
        <f t="shared" si="2"/>
        <v>0</v>
      </c>
    </row>
    <row r="36" spans="1:10" ht="43.5" customHeight="1">
      <c r="A36" s="101" t="s">
        <v>401</v>
      </c>
      <c r="B36" s="67">
        <v>9277</v>
      </c>
      <c r="C36" s="53">
        <f t="shared" si="7"/>
        <v>10204.700000000001</v>
      </c>
      <c r="D36" s="55">
        <f t="shared" si="5"/>
        <v>14843.2</v>
      </c>
      <c r="E36" s="16"/>
      <c r="F36" s="2">
        <v>2</v>
      </c>
      <c r="G36" s="99" t="s">
        <v>383</v>
      </c>
      <c r="H36" s="5" t="s">
        <v>2</v>
      </c>
      <c r="I36" s="55">
        <v>0</v>
      </c>
      <c r="J36" s="50">
        <f t="shared" si="2"/>
        <v>0</v>
      </c>
    </row>
    <row r="37" spans="1:10" ht="43.5" customHeight="1">
      <c r="A37" s="101" t="s">
        <v>402</v>
      </c>
      <c r="B37" s="67">
        <v>9546</v>
      </c>
      <c r="C37" s="53">
        <f t="shared" si="7"/>
        <v>10500.6</v>
      </c>
      <c r="D37" s="55">
        <f t="shared" si="5"/>
        <v>15273.6</v>
      </c>
      <c r="E37" s="16"/>
      <c r="F37" s="2">
        <v>2</v>
      </c>
      <c r="G37" s="99" t="s">
        <v>384</v>
      </c>
      <c r="H37" s="5" t="s">
        <v>2</v>
      </c>
      <c r="I37" s="55">
        <v>0</v>
      </c>
      <c r="J37" s="50">
        <f t="shared" si="2"/>
        <v>0</v>
      </c>
    </row>
    <row r="38" spans="1:10" ht="43.5" customHeight="1">
      <c r="A38" s="101" t="s">
        <v>399</v>
      </c>
      <c r="B38" s="67">
        <v>25335</v>
      </c>
      <c r="C38" s="53">
        <f t="shared" si="7"/>
        <v>27868.500000000004</v>
      </c>
      <c r="D38" s="55">
        <f t="shared" si="5"/>
        <v>40536</v>
      </c>
      <c r="E38" s="16"/>
      <c r="F38" s="2">
        <v>2</v>
      </c>
      <c r="G38" s="99" t="s">
        <v>385</v>
      </c>
      <c r="H38" s="5" t="s">
        <v>2</v>
      </c>
      <c r="I38" s="55">
        <v>0</v>
      </c>
      <c r="J38" s="50">
        <f t="shared" si="2"/>
        <v>0</v>
      </c>
    </row>
    <row r="39" spans="1:10" ht="43.5" customHeight="1">
      <c r="A39" s="101" t="s">
        <v>400</v>
      </c>
      <c r="B39" s="67">
        <v>25996</v>
      </c>
      <c r="C39" s="53">
        <f t="shared" si="7"/>
        <v>28595.600000000002</v>
      </c>
      <c r="D39" s="55">
        <f t="shared" si="5"/>
        <v>41593.600000000006</v>
      </c>
      <c r="E39" s="16"/>
      <c r="F39" s="2">
        <v>2</v>
      </c>
      <c r="G39" s="99" t="s">
        <v>386</v>
      </c>
      <c r="H39" s="5" t="s">
        <v>2</v>
      </c>
      <c r="I39" s="55">
        <v>0</v>
      </c>
      <c r="J39" s="50">
        <f t="shared" si="2"/>
        <v>0</v>
      </c>
    </row>
    <row r="40" spans="1:10" ht="57" customHeight="1">
      <c r="A40" s="3" t="s">
        <v>54</v>
      </c>
      <c r="B40" s="56">
        <v>1361.420775</v>
      </c>
      <c r="C40" s="53">
        <f t="shared" si="7"/>
        <v>1497.5628525000002</v>
      </c>
      <c r="D40" s="55">
        <f t="shared" si="5"/>
        <v>2178.27324</v>
      </c>
      <c r="E40" s="2"/>
      <c r="F40" s="2">
        <v>8</v>
      </c>
      <c r="G40" s="23" t="s">
        <v>29</v>
      </c>
      <c r="H40" s="5" t="s">
        <v>2</v>
      </c>
      <c r="I40" s="55">
        <v>0</v>
      </c>
      <c r="J40" s="50">
        <f t="shared" si="2"/>
        <v>0</v>
      </c>
    </row>
    <row r="41" spans="1:10" ht="57" customHeight="1">
      <c r="A41" s="3" t="s">
        <v>55</v>
      </c>
      <c r="B41" s="56">
        <v>1470</v>
      </c>
      <c r="C41" s="53">
        <f t="shared" si="7"/>
        <v>1617.0000000000002</v>
      </c>
      <c r="D41" s="55">
        <f t="shared" si="5"/>
        <v>2352</v>
      </c>
      <c r="E41" s="2"/>
      <c r="F41" s="2">
        <v>8</v>
      </c>
      <c r="G41" s="23" t="s">
        <v>31</v>
      </c>
      <c r="H41" s="5" t="s">
        <v>2</v>
      </c>
      <c r="I41" s="55">
        <v>0</v>
      </c>
      <c r="J41" s="50">
        <f t="shared" si="2"/>
        <v>0</v>
      </c>
    </row>
    <row r="42" spans="1:10" ht="57" customHeight="1">
      <c r="A42" s="3" t="s">
        <v>56</v>
      </c>
      <c r="B42" s="56">
        <v>1401.1013249999999</v>
      </c>
      <c r="C42" s="53">
        <f t="shared" si="7"/>
        <v>1541.2114575000001</v>
      </c>
      <c r="D42" s="55">
        <f t="shared" si="5"/>
        <v>2241.7621199999999</v>
      </c>
      <c r="E42" s="2"/>
      <c r="F42" s="2">
        <v>8</v>
      </c>
      <c r="G42" s="23" t="s">
        <v>30</v>
      </c>
      <c r="H42" s="5" t="s">
        <v>2</v>
      </c>
      <c r="I42" s="55">
        <v>0</v>
      </c>
      <c r="J42" s="50">
        <f t="shared" si="2"/>
        <v>0</v>
      </c>
    </row>
    <row r="43" spans="1:10" ht="57" customHeight="1">
      <c r="A43" s="3" t="s">
        <v>57</v>
      </c>
      <c r="B43" s="56">
        <v>792.66622499999994</v>
      </c>
      <c r="C43" s="53">
        <f t="shared" si="7"/>
        <v>871.93284749999998</v>
      </c>
      <c r="D43" s="55">
        <f t="shared" si="5"/>
        <v>1268.26596</v>
      </c>
      <c r="E43" s="2"/>
      <c r="F43" s="2">
        <v>8</v>
      </c>
      <c r="G43" s="23" t="s">
        <v>32</v>
      </c>
      <c r="H43" s="5" t="s">
        <v>2</v>
      </c>
      <c r="I43" s="55">
        <v>0</v>
      </c>
      <c r="J43" s="50">
        <f t="shared" si="2"/>
        <v>0</v>
      </c>
    </row>
    <row r="44" spans="1:10" ht="57" customHeight="1">
      <c r="A44" s="3" t="s">
        <v>58</v>
      </c>
      <c r="B44" s="56">
        <v>1090</v>
      </c>
      <c r="C44" s="53">
        <f t="shared" si="7"/>
        <v>1199</v>
      </c>
      <c r="D44" s="55">
        <f t="shared" si="5"/>
        <v>1744</v>
      </c>
      <c r="E44" s="2"/>
      <c r="F44" s="2">
        <v>8</v>
      </c>
      <c r="G44" s="23" t="s">
        <v>33</v>
      </c>
      <c r="H44" s="5" t="s">
        <v>2</v>
      </c>
      <c r="I44" s="55">
        <v>0</v>
      </c>
      <c r="J44" s="50">
        <f t="shared" si="2"/>
        <v>0</v>
      </c>
    </row>
    <row r="45" spans="1:10" ht="57" customHeight="1">
      <c r="A45" s="3" t="s">
        <v>42</v>
      </c>
      <c r="B45" s="56">
        <v>242</v>
      </c>
      <c r="C45" s="53">
        <f t="shared" si="7"/>
        <v>266.20000000000005</v>
      </c>
      <c r="D45" s="55">
        <f t="shared" si="5"/>
        <v>387.20000000000005</v>
      </c>
      <c r="E45" s="2"/>
      <c r="F45" s="2">
        <v>80</v>
      </c>
      <c r="G45" s="23" t="s">
        <v>41</v>
      </c>
      <c r="H45" s="5" t="s">
        <v>2</v>
      </c>
      <c r="I45" s="55">
        <v>0</v>
      </c>
      <c r="J45" s="50">
        <f t="shared" si="2"/>
        <v>0</v>
      </c>
    </row>
    <row r="46" spans="1:10" ht="57" customHeight="1">
      <c r="A46" s="17" t="s">
        <v>23</v>
      </c>
      <c r="B46" s="56">
        <v>85</v>
      </c>
      <c r="C46" s="53">
        <f t="shared" si="7"/>
        <v>93.500000000000014</v>
      </c>
      <c r="D46" s="55">
        <f t="shared" si="5"/>
        <v>136</v>
      </c>
      <c r="E46" s="11"/>
      <c r="F46" s="11">
        <v>300</v>
      </c>
      <c r="G46" s="27" t="s">
        <v>300</v>
      </c>
      <c r="H46" s="5" t="s">
        <v>2</v>
      </c>
      <c r="I46" s="55">
        <v>0</v>
      </c>
      <c r="J46" s="50">
        <f t="shared" si="2"/>
        <v>0</v>
      </c>
    </row>
    <row r="47" spans="1:10" ht="57" customHeight="1">
      <c r="A47" s="3" t="s">
        <v>24</v>
      </c>
      <c r="B47" s="56">
        <v>85</v>
      </c>
      <c r="C47" s="53">
        <f t="shared" si="7"/>
        <v>93.500000000000014</v>
      </c>
      <c r="D47" s="55">
        <f t="shared" ref="D47:D74" si="8">B47*1.6</f>
        <v>136</v>
      </c>
      <c r="E47" s="2"/>
      <c r="F47" s="2">
        <v>300</v>
      </c>
      <c r="G47" s="23" t="s">
        <v>299</v>
      </c>
      <c r="H47" s="5" t="s">
        <v>2</v>
      </c>
      <c r="I47" s="55">
        <v>0</v>
      </c>
      <c r="J47" s="50">
        <f t="shared" si="2"/>
        <v>0</v>
      </c>
    </row>
    <row r="48" spans="1:10" ht="57" customHeight="1">
      <c r="A48" s="17" t="s">
        <v>16</v>
      </c>
      <c r="B48" s="56">
        <v>130</v>
      </c>
      <c r="C48" s="53">
        <f t="shared" si="7"/>
        <v>143</v>
      </c>
      <c r="D48" s="55">
        <f t="shared" si="8"/>
        <v>208</v>
      </c>
      <c r="E48" s="11"/>
      <c r="F48" s="11">
        <v>100</v>
      </c>
      <c r="G48" s="27" t="s">
        <v>27</v>
      </c>
      <c r="H48" s="5" t="s">
        <v>2</v>
      </c>
      <c r="I48" s="55">
        <v>0</v>
      </c>
      <c r="J48" s="50">
        <f t="shared" si="2"/>
        <v>0</v>
      </c>
    </row>
    <row r="49" spans="1:10" ht="57" customHeight="1">
      <c r="A49" s="17" t="s">
        <v>17</v>
      </c>
      <c r="B49" s="56">
        <v>170.05949999999999</v>
      </c>
      <c r="C49" s="53">
        <f>B49*1.1</f>
        <v>187.06545</v>
      </c>
      <c r="D49" s="55">
        <f t="shared" si="8"/>
        <v>272.09519999999998</v>
      </c>
      <c r="E49" s="11"/>
      <c r="F49" s="11">
        <v>100</v>
      </c>
      <c r="G49" s="27" t="s">
        <v>25</v>
      </c>
      <c r="H49" s="5" t="s">
        <v>2</v>
      </c>
      <c r="I49" s="55">
        <v>0</v>
      </c>
      <c r="J49" s="50">
        <f t="shared" si="2"/>
        <v>0</v>
      </c>
    </row>
    <row r="50" spans="1:10" ht="57" customHeight="1">
      <c r="A50" s="8" t="s">
        <v>19</v>
      </c>
      <c r="B50" s="52">
        <v>158.72219999999999</v>
      </c>
      <c r="C50" s="66">
        <v>174.59441999999999</v>
      </c>
      <c r="D50" s="55">
        <f t="shared" si="8"/>
        <v>253.95551999999998</v>
      </c>
      <c r="E50" s="7"/>
      <c r="F50" s="7">
        <v>1</v>
      </c>
      <c r="G50" s="24" t="s">
        <v>301</v>
      </c>
      <c r="H50" s="123" t="s">
        <v>7</v>
      </c>
      <c r="I50" s="55">
        <v>0</v>
      </c>
      <c r="J50" s="50">
        <f t="shared" si="2"/>
        <v>0</v>
      </c>
    </row>
    <row r="51" spans="1:10" ht="57" customHeight="1">
      <c r="A51" s="8" t="s">
        <v>18</v>
      </c>
      <c r="B51" s="52">
        <v>33.067125000000004</v>
      </c>
      <c r="C51" s="66">
        <v>36.373837500000008</v>
      </c>
      <c r="D51" s="55">
        <f t="shared" si="8"/>
        <v>52.90740000000001</v>
      </c>
      <c r="E51" s="7"/>
      <c r="F51" s="7">
        <v>100</v>
      </c>
      <c r="G51" s="24" t="s">
        <v>26</v>
      </c>
      <c r="H51" s="123" t="s">
        <v>7</v>
      </c>
      <c r="I51" s="55">
        <v>0</v>
      </c>
      <c r="J51" s="50">
        <f t="shared" si="2"/>
        <v>0</v>
      </c>
    </row>
    <row r="52" spans="1:10" ht="57" customHeight="1">
      <c r="A52" s="3" t="s">
        <v>258</v>
      </c>
      <c r="B52" s="56">
        <v>196</v>
      </c>
      <c r="C52" s="53">
        <f t="shared" ref="C52:C72" si="9">B52*1.1</f>
        <v>215.60000000000002</v>
      </c>
      <c r="D52" s="55">
        <f t="shared" si="8"/>
        <v>313.60000000000002</v>
      </c>
      <c r="E52" s="2"/>
      <c r="F52" s="2">
        <v>12</v>
      </c>
      <c r="G52" s="23" t="s">
        <v>28</v>
      </c>
      <c r="H52" s="5" t="s">
        <v>2</v>
      </c>
      <c r="I52" s="55">
        <v>0</v>
      </c>
      <c r="J52" s="50">
        <f t="shared" si="2"/>
        <v>0</v>
      </c>
    </row>
    <row r="53" spans="1:10" ht="57" customHeight="1">
      <c r="A53" s="17" t="s">
        <v>121</v>
      </c>
      <c r="B53" s="56">
        <v>331</v>
      </c>
      <c r="C53" s="53">
        <f t="shared" si="9"/>
        <v>364.1</v>
      </c>
      <c r="D53" s="55">
        <f t="shared" si="8"/>
        <v>529.6</v>
      </c>
      <c r="E53" s="11"/>
      <c r="F53" s="11">
        <v>4</v>
      </c>
      <c r="G53" s="27" t="s">
        <v>28</v>
      </c>
      <c r="H53" s="5" t="s">
        <v>2</v>
      </c>
      <c r="I53" s="55">
        <v>0</v>
      </c>
      <c r="J53" s="50">
        <f t="shared" si="2"/>
        <v>0</v>
      </c>
    </row>
    <row r="54" spans="1:10" ht="57" customHeight="1">
      <c r="A54" s="3" t="s">
        <v>17</v>
      </c>
      <c r="B54" s="56">
        <v>169</v>
      </c>
      <c r="C54" s="53">
        <f t="shared" si="9"/>
        <v>185.9</v>
      </c>
      <c r="D54" s="55">
        <f t="shared" si="8"/>
        <v>270.40000000000003</v>
      </c>
      <c r="E54" s="2"/>
      <c r="F54" s="2">
        <v>100</v>
      </c>
      <c r="G54" s="23" t="s">
        <v>302</v>
      </c>
      <c r="H54" s="5" t="s">
        <v>2</v>
      </c>
      <c r="I54" s="55">
        <v>0</v>
      </c>
      <c r="J54" s="50">
        <f t="shared" si="2"/>
        <v>0</v>
      </c>
    </row>
    <row r="55" spans="1:10" ht="57" customHeight="1">
      <c r="A55" s="3" t="s">
        <v>16</v>
      </c>
      <c r="B55" s="56">
        <v>130</v>
      </c>
      <c r="C55" s="53">
        <f t="shared" si="9"/>
        <v>143</v>
      </c>
      <c r="D55" s="55">
        <f t="shared" si="8"/>
        <v>208</v>
      </c>
      <c r="E55" s="2"/>
      <c r="F55" s="2">
        <v>100</v>
      </c>
      <c r="G55" s="23" t="s">
        <v>303</v>
      </c>
      <c r="H55" s="123" t="s">
        <v>7</v>
      </c>
      <c r="I55" s="55">
        <v>0</v>
      </c>
      <c r="J55" s="50">
        <f t="shared" si="2"/>
        <v>0</v>
      </c>
    </row>
    <row r="56" spans="1:10" ht="57" customHeight="1">
      <c r="A56" s="3" t="s">
        <v>260</v>
      </c>
      <c r="B56" s="56">
        <v>120</v>
      </c>
      <c r="C56" s="53">
        <f t="shared" si="9"/>
        <v>132</v>
      </c>
      <c r="D56" s="55">
        <f t="shared" si="8"/>
        <v>192</v>
      </c>
      <c r="E56" s="2"/>
      <c r="F56" s="2"/>
      <c r="G56" s="23" t="s">
        <v>261</v>
      </c>
      <c r="H56" s="5" t="s">
        <v>2</v>
      </c>
      <c r="I56" s="55">
        <v>0</v>
      </c>
      <c r="J56" s="50">
        <f t="shared" si="2"/>
        <v>0</v>
      </c>
    </row>
    <row r="57" spans="1:10" ht="110.25" customHeight="1">
      <c r="A57" s="3" t="s">
        <v>376</v>
      </c>
      <c r="B57" s="56">
        <v>440</v>
      </c>
      <c r="C57" s="53">
        <v>462</v>
      </c>
      <c r="D57" s="55">
        <f t="shared" si="8"/>
        <v>704</v>
      </c>
      <c r="E57" s="2"/>
      <c r="F57" s="2">
        <v>50</v>
      </c>
      <c r="G57" s="74" t="s">
        <v>374</v>
      </c>
      <c r="H57" s="72" t="s">
        <v>2</v>
      </c>
      <c r="I57" s="55">
        <v>0</v>
      </c>
      <c r="J57" s="50">
        <f t="shared" si="2"/>
        <v>0</v>
      </c>
    </row>
    <row r="58" spans="1:10" ht="114" customHeight="1">
      <c r="A58" s="3" t="s">
        <v>377</v>
      </c>
      <c r="B58" s="56">
        <v>490</v>
      </c>
      <c r="C58" s="53">
        <v>512</v>
      </c>
      <c r="D58" s="55">
        <f t="shared" si="8"/>
        <v>784</v>
      </c>
      <c r="E58" s="2"/>
      <c r="F58" s="2">
        <v>50</v>
      </c>
      <c r="G58" s="74" t="s">
        <v>375</v>
      </c>
      <c r="H58" s="72" t="s">
        <v>2</v>
      </c>
      <c r="I58" s="55">
        <v>0</v>
      </c>
      <c r="J58" s="50">
        <f t="shared" si="2"/>
        <v>0</v>
      </c>
    </row>
    <row r="59" spans="1:10" ht="57" customHeight="1">
      <c r="A59" s="3" t="s">
        <v>315</v>
      </c>
      <c r="B59" s="56">
        <v>160</v>
      </c>
      <c r="C59" s="53">
        <f t="shared" si="9"/>
        <v>176</v>
      </c>
      <c r="D59" s="55">
        <f t="shared" si="8"/>
        <v>256</v>
      </c>
      <c r="E59" s="2"/>
      <c r="F59" s="2">
        <v>60</v>
      </c>
      <c r="G59" s="23" t="s">
        <v>267</v>
      </c>
      <c r="H59" s="5" t="s">
        <v>2</v>
      </c>
      <c r="I59" s="55">
        <v>0</v>
      </c>
      <c r="J59" s="50">
        <f t="shared" si="2"/>
        <v>0</v>
      </c>
    </row>
    <row r="60" spans="1:10" ht="57" customHeight="1">
      <c r="A60" s="3" t="s">
        <v>314</v>
      </c>
      <c r="B60" s="56">
        <v>220</v>
      </c>
      <c r="C60" s="53">
        <f t="shared" si="9"/>
        <v>242.00000000000003</v>
      </c>
      <c r="D60" s="55">
        <f t="shared" si="8"/>
        <v>352</v>
      </c>
      <c r="E60" s="2"/>
      <c r="F60" s="2">
        <v>60</v>
      </c>
      <c r="G60" s="23" t="s">
        <v>266</v>
      </c>
      <c r="H60" s="5" t="s">
        <v>2</v>
      </c>
      <c r="I60" s="55">
        <v>0</v>
      </c>
      <c r="J60" s="50">
        <f t="shared" si="2"/>
        <v>0</v>
      </c>
    </row>
    <row r="61" spans="1:10" ht="57" customHeight="1">
      <c r="A61" s="3" t="s">
        <v>20</v>
      </c>
      <c r="B61" s="56">
        <v>460</v>
      </c>
      <c r="C61" s="53">
        <f t="shared" si="9"/>
        <v>506.00000000000006</v>
      </c>
      <c r="D61" s="55">
        <f t="shared" si="8"/>
        <v>736</v>
      </c>
      <c r="E61" s="2"/>
      <c r="F61" s="2">
        <v>1</v>
      </c>
      <c r="G61" s="23" t="s">
        <v>34</v>
      </c>
      <c r="H61" s="5" t="s">
        <v>2</v>
      </c>
      <c r="I61" s="55">
        <v>0</v>
      </c>
      <c r="J61" s="50">
        <f t="shared" si="2"/>
        <v>0</v>
      </c>
    </row>
    <row r="62" spans="1:10" ht="83.25" customHeight="1">
      <c r="A62" s="3" t="s">
        <v>36</v>
      </c>
      <c r="B62" s="56">
        <v>150</v>
      </c>
      <c r="C62" s="53">
        <f t="shared" si="9"/>
        <v>165</v>
      </c>
      <c r="D62" s="55">
        <f t="shared" si="8"/>
        <v>240</v>
      </c>
      <c r="E62" s="2"/>
      <c r="F62" s="2">
        <v>1</v>
      </c>
      <c r="G62" s="23" t="s">
        <v>53</v>
      </c>
      <c r="H62" s="5" t="s">
        <v>2</v>
      </c>
      <c r="I62" s="55">
        <v>0</v>
      </c>
      <c r="J62" s="50">
        <f t="shared" si="2"/>
        <v>0</v>
      </c>
    </row>
    <row r="63" spans="1:10" ht="83.25" customHeight="1">
      <c r="A63" s="3" t="s">
        <v>296</v>
      </c>
      <c r="B63" s="56">
        <v>264.53700000000003</v>
      </c>
      <c r="C63" s="53">
        <f t="shared" si="9"/>
        <v>290.99070000000006</v>
      </c>
      <c r="D63" s="55">
        <f t="shared" si="8"/>
        <v>423.25920000000008</v>
      </c>
      <c r="E63" s="2"/>
      <c r="F63" s="2">
        <v>100</v>
      </c>
      <c r="G63" s="23" t="s">
        <v>35</v>
      </c>
      <c r="H63" s="5" t="s">
        <v>2</v>
      </c>
      <c r="I63" s="55">
        <v>0</v>
      </c>
      <c r="J63" s="50">
        <f t="shared" si="2"/>
        <v>0</v>
      </c>
    </row>
    <row r="64" spans="1:10" ht="83.25" customHeight="1">
      <c r="A64" s="17" t="s">
        <v>38</v>
      </c>
      <c r="B64" s="56">
        <v>387.35775000000001</v>
      </c>
      <c r="C64" s="53">
        <f t="shared" si="9"/>
        <v>426.09352500000006</v>
      </c>
      <c r="D64" s="55">
        <f t="shared" si="8"/>
        <v>619.77240000000006</v>
      </c>
      <c r="E64" s="11"/>
      <c r="F64" s="11">
        <v>20</v>
      </c>
      <c r="G64" s="27" t="s">
        <v>67</v>
      </c>
      <c r="H64" s="123" t="s">
        <v>7</v>
      </c>
      <c r="I64" s="55">
        <v>0</v>
      </c>
      <c r="J64" s="50">
        <f t="shared" si="2"/>
        <v>0</v>
      </c>
    </row>
    <row r="65" spans="1:10" ht="83.25" customHeight="1">
      <c r="A65" s="17" t="s">
        <v>38</v>
      </c>
      <c r="B65" s="56">
        <v>228.63554999999999</v>
      </c>
      <c r="C65" s="53">
        <f t="shared" si="9"/>
        <v>251.49910500000001</v>
      </c>
      <c r="D65" s="55">
        <f t="shared" si="8"/>
        <v>365.81688000000003</v>
      </c>
      <c r="E65" s="11"/>
      <c r="F65" s="11">
        <v>20</v>
      </c>
      <c r="G65" s="27" t="s">
        <v>68</v>
      </c>
      <c r="H65" s="123" t="s">
        <v>7</v>
      </c>
      <c r="I65" s="55">
        <v>0</v>
      </c>
      <c r="J65" s="50">
        <f t="shared" si="2"/>
        <v>0</v>
      </c>
    </row>
    <row r="66" spans="1:10" ht="86.25" customHeight="1">
      <c r="A66" s="17" t="s">
        <v>38</v>
      </c>
      <c r="B66" s="56">
        <v>198.40275</v>
      </c>
      <c r="C66" s="53">
        <f t="shared" si="9"/>
        <v>218.24302500000002</v>
      </c>
      <c r="D66" s="55">
        <f t="shared" si="8"/>
        <v>317.44440000000003</v>
      </c>
      <c r="E66" s="11"/>
      <c r="F66" s="11">
        <v>20</v>
      </c>
      <c r="G66" s="27" t="s">
        <v>69</v>
      </c>
      <c r="H66" s="123" t="s">
        <v>7</v>
      </c>
      <c r="I66" s="55">
        <v>0</v>
      </c>
      <c r="J66" s="50">
        <f t="shared" si="2"/>
        <v>0</v>
      </c>
    </row>
    <row r="67" spans="1:10" ht="98.25" customHeight="1">
      <c r="A67" s="14" t="s">
        <v>63</v>
      </c>
      <c r="B67" s="56">
        <v>152.10877500000001</v>
      </c>
      <c r="C67" s="53">
        <f t="shared" si="9"/>
        <v>167.31965250000002</v>
      </c>
      <c r="D67" s="55">
        <f t="shared" si="8"/>
        <v>243.37404000000004</v>
      </c>
      <c r="E67" s="2"/>
      <c r="F67" s="2">
        <v>1</v>
      </c>
      <c r="G67" s="23" t="s">
        <v>64</v>
      </c>
      <c r="H67" s="5" t="s">
        <v>2</v>
      </c>
      <c r="I67" s="55">
        <v>0</v>
      </c>
      <c r="J67" s="50">
        <f t="shared" si="2"/>
        <v>0</v>
      </c>
    </row>
    <row r="68" spans="1:10" ht="85.5" customHeight="1">
      <c r="A68" s="14" t="s">
        <v>78</v>
      </c>
      <c r="B68" s="56">
        <v>875.80642499999999</v>
      </c>
      <c r="C68" s="53">
        <f t="shared" si="9"/>
        <v>963.38706750000006</v>
      </c>
      <c r="D68" s="55">
        <f t="shared" si="8"/>
        <v>1401.2902800000002</v>
      </c>
      <c r="E68" s="2"/>
      <c r="F68" s="11"/>
      <c r="G68" s="28" t="s">
        <v>74</v>
      </c>
      <c r="H68" s="5" t="s">
        <v>2</v>
      </c>
      <c r="I68" s="55">
        <v>0</v>
      </c>
      <c r="J68" s="50">
        <f t="shared" ref="J68:J74" si="10">B68*I68</f>
        <v>0</v>
      </c>
    </row>
    <row r="69" spans="1:10" ht="85.5" customHeight="1">
      <c r="A69" s="14" t="s">
        <v>79</v>
      </c>
      <c r="B69" s="56">
        <v>787.94234999999992</v>
      </c>
      <c r="C69" s="53">
        <f t="shared" si="9"/>
        <v>866.73658499999999</v>
      </c>
      <c r="D69" s="55">
        <f t="shared" si="8"/>
        <v>1260.70776</v>
      </c>
      <c r="E69" s="2"/>
      <c r="F69" s="11"/>
      <c r="G69" s="28" t="s">
        <v>75</v>
      </c>
      <c r="H69" s="5" t="s">
        <v>2</v>
      </c>
      <c r="I69" s="51">
        <v>0</v>
      </c>
      <c r="J69" s="50">
        <f t="shared" si="10"/>
        <v>0</v>
      </c>
    </row>
    <row r="70" spans="1:10" ht="85.5" customHeight="1">
      <c r="A70" s="14" t="s">
        <v>87</v>
      </c>
      <c r="B70" s="56">
        <v>2400</v>
      </c>
      <c r="C70" s="53">
        <f t="shared" si="9"/>
        <v>2640</v>
      </c>
      <c r="D70" s="55">
        <f t="shared" si="8"/>
        <v>3840</v>
      </c>
      <c r="E70" s="2"/>
      <c r="F70" s="11"/>
      <c r="G70" s="25" t="s">
        <v>87</v>
      </c>
      <c r="H70" s="5" t="s">
        <v>2</v>
      </c>
      <c r="I70" s="51">
        <v>0</v>
      </c>
      <c r="J70" s="50">
        <f t="shared" si="10"/>
        <v>0</v>
      </c>
    </row>
    <row r="71" spans="1:10" ht="85.5" customHeight="1">
      <c r="A71" s="14" t="s">
        <v>88</v>
      </c>
      <c r="B71" s="56">
        <v>7381</v>
      </c>
      <c r="C71" s="53">
        <f t="shared" si="9"/>
        <v>8119.1</v>
      </c>
      <c r="D71" s="55">
        <f t="shared" si="8"/>
        <v>11809.6</v>
      </c>
      <c r="E71" s="2"/>
      <c r="F71" s="2"/>
      <c r="G71" s="25" t="s">
        <v>88</v>
      </c>
      <c r="H71" s="5" t="s">
        <v>2</v>
      </c>
      <c r="I71" s="51">
        <v>0</v>
      </c>
      <c r="J71" s="50">
        <f t="shared" si="10"/>
        <v>0</v>
      </c>
    </row>
    <row r="72" spans="1:10" ht="117" customHeight="1">
      <c r="A72" s="14" t="s">
        <v>89</v>
      </c>
      <c r="B72" s="56">
        <v>10195.067025000002</v>
      </c>
      <c r="C72" s="53">
        <f t="shared" si="9"/>
        <v>11214.573727500003</v>
      </c>
      <c r="D72" s="55">
        <f t="shared" si="8"/>
        <v>16312.107240000005</v>
      </c>
      <c r="E72" s="2"/>
      <c r="F72" s="2"/>
      <c r="G72" s="25" t="s">
        <v>89</v>
      </c>
      <c r="H72" s="5" t="s">
        <v>2</v>
      </c>
      <c r="I72" s="51">
        <v>0</v>
      </c>
      <c r="J72" s="50">
        <f t="shared" si="10"/>
        <v>0</v>
      </c>
    </row>
    <row r="73" spans="1:10" ht="97.5" customHeight="1">
      <c r="A73" s="14" t="s">
        <v>90</v>
      </c>
      <c r="B73" s="56">
        <v>2468</v>
      </c>
      <c r="C73" s="53">
        <f>B73*1.1</f>
        <v>2714.8</v>
      </c>
      <c r="D73" s="55">
        <f t="shared" si="8"/>
        <v>3948.8</v>
      </c>
      <c r="E73" s="2"/>
      <c r="F73" s="2"/>
      <c r="G73" s="25" t="s">
        <v>90</v>
      </c>
      <c r="H73" s="5" t="s">
        <v>2</v>
      </c>
      <c r="I73" s="51">
        <v>0</v>
      </c>
      <c r="J73" s="50">
        <f t="shared" si="10"/>
        <v>0</v>
      </c>
    </row>
    <row r="74" spans="1:10" ht="103.5" customHeight="1">
      <c r="A74" s="14" t="s">
        <v>365</v>
      </c>
      <c r="B74" s="56">
        <v>147</v>
      </c>
      <c r="C74" s="53">
        <v>161</v>
      </c>
      <c r="D74" s="55">
        <f t="shared" si="8"/>
        <v>235.20000000000002</v>
      </c>
      <c r="F74" s="2"/>
      <c r="G74" s="91" t="s">
        <v>366</v>
      </c>
      <c r="H74" s="5" t="s">
        <v>2</v>
      </c>
      <c r="I74" s="51">
        <v>0</v>
      </c>
      <c r="J74" s="50">
        <f t="shared" si="10"/>
        <v>0</v>
      </c>
    </row>
    <row r="75" spans="1:10" ht="23.25">
      <c r="A75" s="128" t="s">
        <v>307</v>
      </c>
      <c r="B75" s="129"/>
      <c r="C75" s="129"/>
      <c r="D75" s="129"/>
      <c r="E75" s="129"/>
      <c r="F75" s="129"/>
      <c r="G75" s="129"/>
      <c r="H75" s="130"/>
      <c r="I75" s="43"/>
      <c r="J75" s="48">
        <f>SUM(J4:J73)</f>
        <v>0</v>
      </c>
    </row>
  </sheetData>
  <mergeCells count="3">
    <mergeCell ref="A3:J3"/>
    <mergeCell ref="A1:J1"/>
    <mergeCell ref="A75:H75"/>
  </mergeCells>
  <pageMargins left="0.7" right="0.7" top="0.75" bottom="0.75" header="0.3" footer="0.3"/>
  <drawing r:id="rId1"/>
</worksheet>
</file>